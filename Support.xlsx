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041gc.sharepoint.com/sites/BuildingsandCommunitiesTeamEquipeBatimentsetCommunautes-PB/Shared Documents/Data - Collection and Analyses/ERS/"/>
    </mc:Choice>
  </mc:AlternateContent>
  <xr:revisionPtr revIDLastSave="0" documentId="8_{785B25CB-3500-4D97-ABDF-0D223EE0D6EA}" xr6:coauthVersionLast="47" xr6:coauthVersionMax="47" xr10:uidLastSave="{00000000-0000-0000-0000-000000000000}"/>
  <bookViews>
    <workbookView xWindow="-28920" yWindow="2295" windowWidth="29040" windowHeight="15720" firstSheet="2" activeTab="2" xr2:uid="{DC582F5E-3E5B-4EBB-9B7F-BE2766C0462B}"/>
  </bookViews>
  <sheets>
    <sheet name="Selection" sheetId="1" r:id="rId1"/>
    <sheet name="Tables" sheetId="6" r:id="rId2"/>
    <sheet name="Flags" sheetId="7" r:id="rId3"/>
    <sheet name="Conversions" sheetId="5" r:id="rId4"/>
    <sheet name="WindowCodes" sheetId="9" r:id="rId5"/>
    <sheet name="Frame" sheetId="10" r:id="rId6"/>
    <sheet name="Window" sheetId="11" r:id="rId7"/>
    <sheet name="Spacer" sheetId="12" r:id="rId8"/>
    <sheet name="Fill" sheetId="13" r:id="rId9"/>
    <sheet name="Coating" sheetId="14" r:id="rId10"/>
    <sheet name="Glazing" sheetId="15" r:id="rId11"/>
  </sheets>
  <definedNames>
    <definedName name="_xlnm._FilterDatabase" localSheetId="0" hidden="1">Selection!#REF!</definedName>
    <definedName name="_xlnm._FilterDatabase" localSheetId="1" hidden="1">Tables!$A$1:$I$222</definedName>
    <definedName name="_xlnm.Print_Area" localSheetId="0">Selection!$A$3:$O$376</definedName>
    <definedName name="_xlnm.Print_Titles" localSheetId="0">Selection!$2:$2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 l="1"/>
  <c r="D10" i="5"/>
  <c r="J1" i="1"/>
  <c r="K1" i="1"/>
  <c r="L420" i="1"/>
  <c r="L280" i="1"/>
  <c r="L255" i="1"/>
  <c r="L256" i="1"/>
  <c r="L17" i="1"/>
  <c r="L435" i="1"/>
  <c r="L36" i="1"/>
  <c r="L416" i="1"/>
  <c r="L297" i="1"/>
  <c r="L296" i="1"/>
  <c r="L302" i="1"/>
  <c r="L301" i="1"/>
  <c r="L392" i="1"/>
  <c r="L305" i="1"/>
  <c r="L433" i="1"/>
  <c r="L15" i="1"/>
  <c r="L43" i="1"/>
  <c r="L426" i="1"/>
  <c r="L294" i="1"/>
  <c r="L12" i="1"/>
  <c r="L286" i="1"/>
  <c r="L391" i="1"/>
  <c r="L295" i="1"/>
  <c r="L399" i="1"/>
  <c r="L407" i="1"/>
  <c r="L405" i="1"/>
  <c r="L289" i="1"/>
  <c r="L288" i="1"/>
  <c r="L290" i="1"/>
  <c r="L291" i="1"/>
  <c r="L421" i="1"/>
  <c r="L422" i="1"/>
  <c r="L10" i="1"/>
  <c r="L419" i="1"/>
  <c r="L318" i="1"/>
  <c r="L404" i="1"/>
  <c r="L378" i="1"/>
  <c r="L275" i="1"/>
  <c r="L334" i="1"/>
  <c r="L397" i="1"/>
  <c r="L366" i="1"/>
  <c r="L427" i="1"/>
  <c r="L44" i="1"/>
  <c r="L253" i="1"/>
  <c r="L252" i="1"/>
  <c r="L365" i="1"/>
  <c r="L11" i="1"/>
  <c r="L8" i="1"/>
  <c r="L396" i="1"/>
  <c r="L424" i="1"/>
  <c r="L356" i="1"/>
  <c r="L92" i="1"/>
  <c r="L373" i="1"/>
  <c r="L372" i="1"/>
  <c r="L370" i="1"/>
  <c r="L371" i="1"/>
  <c r="L395" i="1"/>
  <c r="L394" i="1"/>
  <c r="L381" i="1"/>
  <c r="L415" i="1"/>
  <c r="L414" i="1"/>
  <c r="L413" i="1"/>
  <c r="L412" i="1"/>
  <c r="L45" i="1"/>
  <c r="L410" i="1"/>
  <c r="L411" i="1"/>
  <c r="L430" i="1"/>
  <c r="L346" i="1"/>
  <c r="L331" i="1"/>
  <c r="L330" i="1"/>
  <c r="L329" i="1"/>
  <c r="L328" i="1"/>
  <c r="L327" i="1"/>
  <c r="L341" i="1"/>
  <c r="L340" i="1"/>
  <c r="L338" i="1"/>
  <c r="L336" i="1"/>
  <c r="L343" i="1"/>
  <c r="L342" i="1"/>
  <c r="L359" i="1"/>
  <c r="L364" i="1"/>
  <c r="L121" i="1"/>
  <c r="L377" i="1"/>
  <c r="L304" i="1"/>
  <c r="L306" i="1"/>
  <c r="L285" i="1"/>
  <c r="L51" i="1"/>
  <c r="L360" i="1"/>
  <c r="L353" i="1"/>
  <c r="L4" i="1"/>
  <c r="L73" i="1"/>
  <c r="L72" i="1"/>
  <c r="L46" i="1"/>
  <c r="L118" i="1"/>
  <c r="L117" i="1"/>
  <c r="L429" i="1"/>
  <c r="L339" i="1"/>
  <c r="L337" i="1"/>
  <c r="L125" i="1"/>
  <c r="L116" i="1"/>
  <c r="L115" i="1"/>
  <c r="L124" i="1"/>
  <c r="L114" i="1"/>
  <c r="L432" i="1"/>
  <c r="L363" i="1"/>
  <c r="L30" i="1"/>
  <c r="L31" i="1"/>
  <c r="L48" i="1"/>
  <c r="L123" i="1"/>
  <c r="L47" i="1"/>
  <c r="L428" i="1"/>
  <c r="L122" i="1"/>
  <c r="L431" i="1"/>
  <c r="L345" i="1"/>
  <c r="L344" i="1"/>
  <c r="L120" i="1"/>
  <c r="L119" i="1"/>
  <c r="L112" i="1"/>
  <c r="L351" i="1"/>
  <c r="L63" i="1"/>
  <c r="L62" i="1"/>
  <c r="L61" i="1"/>
  <c r="L60" i="1"/>
  <c r="L59" i="1"/>
  <c r="L58" i="1"/>
  <c r="L57" i="1"/>
  <c r="L56" i="1"/>
  <c r="L53" i="1"/>
  <c r="L55" i="1"/>
  <c r="L54" i="1"/>
  <c r="L52" i="1"/>
  <c r="L35" i="1"/>
  <c r="L313" i="1"/>
  <c r="L300" i="1"/>
  <c r="L352" i="1"/>
  <c r="L390" i="1"/>
  <c r="L358" i="1"/>
  <c r="L357" i="1"/>
  <c r="L355" i="1"/>
  <c r="L389" i="1"/>
  <c r="L349" i="1"/>
  <c r="L34" i="1"/>
  <c r="L350" i="1"/>
  <c r="L79" i="1"/>
  <c r="L320" i="1"/>
  <c r="L242" i="1"/>
  <c r="L347" i="1"/>
  <c r="L241" i="1"/>
  <c r="L243" i="1"/>
  <c r="L14" i="1"/>
  <c r="L438" i="1"/>
  <c r="L244" i="1"/>
  <c r="L332" i="1"/>
  <c r="L319" i="1"/>
  <c r="L317" i="1"/>
  <c r="L312" i="1"/>
  <c r="L93" i="1"/>
  <c r="L335" i="1"/>
  <c r="L287" i="1"/>
  <c r="L434" i="1"/>
  <c r="L333" i="1"/>
  <c r="L315" i="1"/>
  <c r="L316" i="1"/>
  <c r="L314" i="1"/>
  <c r="L348" i="1"/>
  <c r="L32" i="1"/>
  <c r="L80" i="1"/>
  <c r="L436" i="1"/>
  <c r="L402" i="1"/>
  <c r="L393" i="1"/>
  <c r="L361" i="1"/>
  <c r="L259" i="1"/>
  <c r="L283" i="1"/>
  <c r="L282" i="1"/>
  <c r="L311" i="1"/>
  <c r="L307" i="1"/>
  <c r="L266" i="1"/>
  <c r="L276" i="1"/>
  <c r="L269" i="1"/>
  <c r="L260" i="1"/>
  <c r="L268" i="1"/>
  <c r="L274" i="1"/>
  <c r="L273" i="1"/>
  <c r="L25" i="1"/>
  <c r="L27" i="1"/>
  <c r="L29" i="1"/>
  <c r="L26" i="1"/>
  <c r="L28" i="1"/>
  <c r="L263" i="1"/>
  <c r="L270" i="1"/>
  <c r="L279" i="1"/>
  <c r="L408" i="1"/>
  <c r="L265" i="1"/>
  <c r="L254" i="1"/>
  <c r="L69" i="1"/>
  <c r="L68" i="1"/>
  <c r="L272" i="1"/>
  <c r="L278" i="1"/>
  <c r="L277" i="1"/>
  <c r="L403" i="1"/>
  <c r="L375" i="1"/>
  <c r="L376" i="1"/>
  <c r="L262" i="1"/>
  <c r="L42" i="1"/>
  <c r="L400" i="1"/>
  <c r="L66" i="1"/>
  <c r="L67" i="1"/>
  <c r="L16" i="1"/>
  <c r="L401" i="1"/>
  <c r="L50" i="1"/>
  <c r="L41" i="1"/>
  <c r="L261" i="1"/>
  <c r="L65" i="1"/>
  <c r="L64" i="1"/>
  <c r="L354" i="1"/>
  <c r="L250" i="1"/>
  <c r="L246" i="1"/>
  <c r="L249" i="1"/>
  <c r="L247" i="1"/>
  <c r="L245" i="1"/>
  <c r="L369" i="1"/>
  <c r="L437" i="1"/>
  <c r="L251" i="1"/>
  <c r="L248" i="1"/>
  <c r="L380" i="1"/>
  <c r="L284" i="1"/>
  <c r="L293" i="1"/>
  <c r="L37" i="1"/>
  <c r="L113" i="1"/>
  <c r="L425" i="1"/>
  <c r="L94" i="1"/>
  <c r="L104" i="1"/>
  <c r="L102" i="1"/>
  <c r="L101" i="1"/>
  <c r="L100" i="1"/>
  <c r="L99" i="1"/>
  <c r="L98" i="1"/>
  <c r="L97" i="1"/>
  <c r="L103" i="1"/>
  <c r="L96" i="1"/>
  <c r="L106" i="1"/>
  <c r="L95" i="1"/>
  <c r="L105" i="1"/>
  <c r="L107" i="1"/>
  <c r="L111" i="1"/>
  <c r="L108" i="1"/>
  <c r="L110" i="1"/>
  <c r="L109" i="1"/>
  <c r="L309" i="1"/>
  <c r="L281" i="1"/>
  <c r="L91" i="1"/>
  <c r="L362" i="1"/>
  <c r="L90" i="1"/>
  <c r="L89" i="1"/>
  <c r="L88" i="1"/>
  <c r="L87" i="1"/>
  <c r="L86" i="1"/>
  <c r="L367" i="1"/>
  <c r="L379" i="1"/>
  <c r="L85" i="1"/>
  <c r="L308" i="1"/>
  <c r="L84" i="1"/>
  <c r="L81" i="1"/>
  <c r="L83" i="1"/>
  <c r="L82" i="1"/>
  <c r="L264" i="1"/>
  <c r="L77" i="1"/>
  <c r="L75" i="1"/>
  <c r="L76" i="1"/>
  <c r="L74" i="1"/>
  <c r="L71" i="1"/>
  <c r="L49" i="1"/>
  <c r="L398" i="1"/>
  <c r="L321" i="1"/>
  <c r="L70" i="1"/>
  <c r="L40" i="1"/>
  <c r="L39" i="1"/>
  <c r="L38" i="1"/>
  <c r="L78" i="1"/>
  <c r="L423" i="1"/>
  <c r="L33" i="1"/>
  <c r="L388" i="1"/>
  <c r="L387" i="1"/>
  <c r="L131" i="1"/>
  <c r="L182" i="1"/>
  <c r="L183" i="1"/>
  <c r="L143" i="1"/>
  <c r="L142" i="1"/>
  <c r="L385" i="1"/>
  <c r="L228" i="1"/>
  <c r="L176" i="1"/>
  <c r="L177" i="1"/>
  <c r="L239" i="1"/>
  <c r="L134" i="1"/>
  <c r="L227" i="1"/>
  <c r="L207" i="1"/>
  <c r="L299" i="1"/>
  <c r="L298" i="1"/>
  <c r="L232" i="1"/>
  <c r="L226" i="1"/>
  <c r="L205" i="1"/>
  <c r="L206" i="1"/>
  <c r="L229" i="1"/>
  <c r="L230" i="1"/>
  <c r="L198" i="1"/>
  <c r="L171" i="1"/>
  <c r="L128" i="1"/>
  <c r="L218" i="1"/>
  <c r="L138" i="1"/>
  <c r="L220" i="1"/>
  <c r="L216" i="1"/>
  <c r="L231" i="1"/>
  <c r="L212" i="1"/>
  <c r="L211" i="1"/>
  <c r="L215" i="1"/>
  <c r="L214" i="1"/>
  <c r="L213" i="1"/>
  <c r="L203" i="1"/>
  <c r="L384" i="1"/>
  <c r="L310" i="1"/>
  <c r="L126" i="1"/>
  <c r="L159" i="1"/>
  <c r="L141" i="1"/>
  <c r="L191" i="1"/>
  <c r="L190" i="1"/>
  <c r="L163" i="1"/>
  <c r="L162" i="1"/>
  <c r="L237" i="1"/>
  <c r="L208" i="1"/>
  <c r="L140" i="1"/>
  <c r="L139" i="1"/>
  <c r="L157" i="1"/>
  <c r="L236" i="1"/>
  <c r="L158" i="1"/>
  <c r="L160" i="1"/>
  <c r="L303" i="1"/>
  <c r="L386" i="1"/>
  <c r="L202" i="1"/>
  <c r="L225" i="1"/>
  <c r="L224" i="1"/>
  <c r="L223" i="1"/>
  <c r="L222" i="1"/>
  <c r="L137" i="1"/>
  <c r="L221" i="1"/>
  <c r="L383" i="1"/>
  <c r="L192" i="1"/>
  <c r="L193" i="1"/>
  <c r="L133" i="1"/>
  <c r="L201" i="1"/>
  <c r="L187" i="1"/>
  <c r="L235" i="1"/>
  <c r="L167" i="1"/>
  <c r="L166" i="1"/>
  <c r="L165" i="1"/>
  <c r="L186" i="1"/>
  <c r="L199" i="1"/>
  <c r="L168" i="1"/>
  <c r="L326" i="1"/>
  <c r="L325" i="1"/>
  <c r="L324" i="1"/>
  <c r="L323" i="1"/>
  <c r="L322" i="1"/>
  <c r="L197" i="1"/>
  <c r="L23" i="1"/>
  <c r="L22" i="1"/>
  <c r="L21" i="1"/>
  <c r="L20" i="1"/>
  <c r="L19" i="1"/>
  <c r="L18" i="1"/>
  <c r="L204" i="1"/>
  <c r="L189" i="1"/>
  <c r="L292" i="1"/>
  <c r="L238" i="1"/>
  <c r="L188" i="1"/>
  <c r="L185" i="1"/>
  <c r="L24" i="1"/>
  <c r="L132" i="1"/>
  <c r="L149" i="1"/>
  <c r="L194" i="1"/>
  <c r="L406" i="1"/>
  <c r="L184" i="1"/>
  <c r="L219" i="1"/>
  <c r="L181" i="1"/>
  <c r="L374" i="1"/>
  <c r="L180" i="1"/>
  <c r="L175" i="1"/>
  <c r="L174" i="1"/>
  <c r="L179" i="1"/>
  <c r="L172" i="1"/>
  <c r="L173" i="1"/>
  <c r="L169" i="1"/>
  <c r="L170" i="1"/>
  <c r="L368" i="1"/>
  <c r="L164" i="1"/>
  <c r="L209" i="1"/>
  <c r="L240" i="1"/>
  <c r="L151" i="1"/>
  <c r="L153" i="1"/>
  <c r="L152" i="1"/>
  <c r="L156" i="1"/>
  <c r="L154" i="1"/>
  <c r="L150" i="1"/>
  <c r="L155" i="1"/>
  <c r="L210" i="1"/>
  <c r="L234" i="1"/>
  <c r="L161" i="1"/>
  <c r="L148" i="1"/>
  <c r="L147" i="1"/>
  <c r="L145" i="1"/>
  <c r="L146" i="1"/>
  <c r="L144" i="1"/>
  <c r="L136" i="1"/>
  <c r="L135" i="1"/>
  <c r="L196" i="1"/>
  <c r="L217" i="1"/>
  <c r="L130" i="1"/>
  <c r="L200" i="1"/>
  <c r="L129" i="1"/>
  <c r="L7" i="1"/>
  <c r="L195" i="1"/>
  <c r="L178" i="1"/>
  <c r="L271" i="1"/>
  <c r="L267" i="1"/>
  <c r="L258" i="1"/>
  <c r="L409" i="1"/>
  <c r="L13" i="1"/>
  <c r="L127" i="1"/>
  <c r="L257" i="1"/>
  <c r="L9" i="1"/>
  <c r="L382" i="1"/>
  <c r="L233" i="1"/>
  <c r="L417" i="1"/>
  <c r="L6" i="1"/>
  <c r="L5" i="1"/>
  <c r="L418" i="1"/>
  <c r="L3" i="1"/>
  <c r="D20" i="5"/>
  <c r="B22" i="5"/>
  <c r="D6" i="5"/>
  <c r="D2" i="5"/>
  <c r="I1" i="1"/>
  <c r="H1" i="1"/>
  <c r="G1" i="1"/>
  <c r="L1" i="1" l="1"/>
</calcChain>
</file>

<file path=xl/sharedStrings.xml><?xml version="1.0" encoding="utf-8"?>
<sst xmlns="http://schemas.openxmlformats.org/spreadsheetml/2006/main" count="4182" uniqueCount="1316">
  <si>
    <t>Column Name</t>
  </si>
  <si>
    <t>D filled%</t>
  </si>
  <si>
    <t>E filled%</t>
  </si>
  <si>
    <t>D filled</t>
  </si>
  <si>
    <t>E filled</t>
  </si>
  <si>
    <t>Column Description (English)</t>
  </si>
  <si>
    <t>Base Table</t>
  </si>
  <si>
    <t>Retrofit Table</t>
  </si>
  <si>
    <t>Energy Table</t>
  </si>
  <si>
    <t>Conversion</t>
  </si>
  <si>
    <t>Filter</t>
  </si>
  <si>
    <t>Included?</t>
  </si>
  <si>
    <t>Column Data Type</t>
  </si>
  <si>
    <t>First available version</t>
  </si>
  <si>
    <t>Upgrade Base case</t>
  </si>
  <si>
    <t>YEARBUILT</t>
  </si>
  <si>
    <t>Year of construction</t>
  </si>
  <si>
    <t>y</t>
  </si>
  <si>
    <t>Integer</t>
  </si>
  <si>
    <t>HOT2000 v9.34</t>
  </si>
  <si>
    <t>Base case</t>
  </si>
  <si>
    <t>EPACSA</t>
  </si>
  <si>
    <t>Wood Fireplace or insert meets CSA-B415-M92 or 40 CFR Part10 (EPACSA or N/A)</t>
  </si>
  <si>
    <t>nvarchar(6)</t>
  </si>
  <si>
    <t>HOT2000 v10.10</t>
  </si>
  <si>
    <t>WINDOWCODENUM</t>
  </si>
  <si>
    <t>Window code used most often in the file. Ignores user defined codes.</t>
  </si>
  <si>
    <t>HOT2000 v10.51</t>
  </si>
  <si>
    <t>WINDOWCODE</t>
  </si>
  <si>
    <t>Window code of the windows that occupy the greatest area. Ignores user defined codes.</t>
  </si>
  <si>
    <t>UGRWINDOWCODE</t>
  </si>
  <si>
    <t>Window code of the proposed windows that occupy the greatest area. Ignores user defined codes.</t>
  </si>
  <si>
    <t>Upgrade case</t>
  </si>
  <si>
    <t>CREDITWIND</t>
  </si>
  <si>
    <t xml:space="preserve">Wind power credit in kWh </t>
  </si>
  <si>
    <t>decimal(19,10)</t>
  </si>
  <si>
    <t>WALKOUTFLOORAR</t>
  </si>
  <si>
    <t>Walkout floor area in square metres</t>
  </si>
  <si>
    <t>CENVENTSYSTYPE</t>
  </si>
  <si>
    <t>Ventilation type installed</t>
  </si>
  <si>
    <t>nvarchar(100)</t>
  </si>
  <si>
    <t>CREDITVENT</t>
  </si>
  <si>
    <t>Ventilation system credit in kWh (only available for files prior to v11)</t>
  </si>
  <si>
    <t>BLOWERDOORTEST</t>
  </si>
  <si>
    <t>v11.12 (and earlier) files: Blower door test type (None, CGSB, As operated)
v11.13 files:
As operated - User specified - Test Data – The blower door test data is available in HOT2000
As operated - User Specified – The energy advisor used external software (e.g. from the blower door manufacturer) to calculate ACH and ELA
As operated - Calculated – A default ACH value was used and ELA was calculated by HOT2000 (e.g. when vermiculite is exposed to the interior environment, P files) or a 4-zone blower door test was completed</t>
  </si>
  <si>
    <t>nvarchar(16)</t>
  </si>
  <si>
    <t>UtilizedSolarGains</t>
  </si>
  <si>
    <t>Utilized solar gains in MJ</t>
  </si>
  <si>
    <t>decimal(19,6)</t>
  </si>
  <si>
    <t>HOT2000 v11.2</t>
  </si>
  <si>
    <t>GHGI</t>
  </si>
  <si>
    <t>Used to specify the Greenhouse gas intensity - represents the operational greenhouse gas emissions of the proposed house normalized by floor area  (tons/square metres)</t>
  </si>
  <si>
    <t>decimal(2,2)</t>
  </si>
  <si>
    <t>HOT2000 v11.12</t>
  </si>
  <si>
    <t>BACKWATERVALVE</t>
  </si>
  <si>
    <t>Used to indicate the presence of a back water valve with alarm (1 = yes, 0 = no)</t>
  </si>
  <si>
    <t>nvarchar(1)</t>
  </si>
  <si>
    <t>NUMHPWHMURB</t>
  </si>
  <si>
    <t>Used to indicate the number of heat pump water heaters installed in a MURB</t>
  </si>
  <si>
    <t>decimal(8,2)</t>
  </si>
  <si>
    <t>AHRI</t>
  </si>
  <si>
    <t>Used to indicate the AHRI number associated with a heat pump</t>
  </si>
  <si>
    <t>HOT2000 v11.11</t>
  </si>
  <si>
    <t>UGRHLWINDOOR</t>
  </si>
  <si>
    <t>Upgrade case: heat loss to windows and doors (MJ)</t>
  </si>
  <si>
    <t>UGRHLWALLS</t>
  </si>
  <si>
    <t>Upgrade case: heat loss to wall (MJ)</t>
  </si>
  <si>
    <t>UGRHLFOUND</t>
  </si>
  <si>
    <t>Upgrade case: heat loss to foundation (MJ)</t>
  </si>
  <si>
    <t>UGRHLEXPOSEDFLR</t>
  </si>
  <si>
    <t>Upgrade case: heat loss to exposed floor (MJ)</t>
  </si>
  <si>
    <t>UGRHLCEILING</t>
  </si>
  <si>
    <t>Upgrade case: heat loss to ceiling (MJ)</t>
  </si>
  <si>
    <t>UGRHLAIR</t>
  </si>
  <si>
    <t>Upgrade case: heat loss to air leakage (MJ)</t>
  </si>
  <si>
    <t>UGRINDFURNACEFU</t>
  </si>
  <si>
    <t>Upgrade case: Fuel used by largest independent heating system (only available for MURB files prior to v11)</t>
  </si>
  <si>
    <t>nvarchar(32)</t>
  </si>
  <si>
    <t>MURBFURDCMOTOR</t>
  </si>
  <si>
    <t>Up to three values in v.10.51, and up to two types in v.11 (type1; type2; type3) of heating system Fan/Pump, Energy Efficient motor (1=Yes, 0=No)</t>
  </si>
  <si>
    <t>nvarchar(256)</t>
  </si>
  <si>
    <t>HOT2000 v10.31</t>
  </si>
  <si>
    <t>MURBFURSSEFF</t>
  </si>
  <si>
    <t>Up to three types in v.10.51, and up to two types in v.11 (type1; type2; type3) of heating system steady state efficiency</t>
  </si>
  <si>
    <t>MURBFURNACEFUEL</t>
  </si>
  <si>
    <t>Up to three types in v.10.51, and up to two types in v.11 (type1; type2; type3) of heating system fuel</t>
  </si>
  <si>
    <t>MURBHEATAFUE</t>
  </si>
  <si>
    <t>Up to three types in v.10.51, and up to two types in v.11 (type1; type2; type3) of heating system AFUE</t>
  </si>
  <si>
    <t>MURBFURNACETYPE</t>
  </si>
  <si>
    <t>Up to three types in v.10.51, and up to two types in v.11 (type1; type2; type3) of heating system</t>
  </si>
  <si>
    <t>ERSREFHOUSEGHG</t>
  </si>
  <si>
    <t>Typical new house GHG emissions (tonnes/year)</t>
  </si>
  <si>
    <t>HOT2000 v11.4</t>
  </si>
  <si>
    <t>Reference house base case</t>
  </si>
  <si>
    <t>ERSREFHOUSERATING</t>
  </si>
  <si>
    <t>Typical new house EnerGuide System Rating (GJ/year)</t>
  </si>
  <si>
    <t>INDFURNACETYPE</t>
  </si>
  <si>
    <t>Type of largest independent heating system (only available for MURB files prior to v11)</t>
  </si>
  <si>
    <t>nvarchar(64)</t>
  </si>
  <si>
    <t>TYPEOFHOUSE</t>
  </si>
  <si>
    <t>Type of house (e.g. Single Detached, Double/Semi-detached, Row house- end unit, Row house- middle unit, etc.)</t>
  </si>
  <si>
    <t>FNDTYPE</t>
  </si>
  <si>
    <t>Type of foundation (B = Basement wall, P= Pony wall, C = crawl space, S = slab on grade, F = Floor above crawl space)</t>
  </si>
  <si>
    <t>EVALTYPE</t>
  </si>
  <si>
    <t>Type of Evaluation, D, E, P or N</t>
  </si>
  <si>
    <t>AIRCONDTYPE</t>
  </si>
  <si>
    <t>Type of central A/C System (Central split System, Central single package system, Ductless Mini- or Multi-split system, Compact Ducted Mini- or Multi-split system, and Coils Only) or “Not installed”</t>
  </si>
  <si>
    <t>PROVINCE</t>
  </si>
  <si>
    <t>Two character Province Code for House region</t>
  </si>
  <si>
    <t>char(2)</t>
  </si>
  <si>
    <t>TOTALVENTSUPPLY</t>
  </si>
  <si>
    <t>Total ventilation supply rate, L/s</t>
  </si>
  <si>
    <t>TOTALVENTEXH</t>
  </si>
  <si>
    <t>Total ventilation exhaust rate, L/s</t>
  </si>
  <si>
    <t>TOTALOCCUPANTS</t>
  </si>
  <si>
    <t>Total number of occupants based on Standard Operating Conditions</t>
  </si>
  <si>
    <t>NUMWINDOWS</t>
  </si>
  <si>
    <t>Total number of installed windows</t>
  </si>
  <si>
    <t>NUMDOORS</t>
  </si>
  <si>
    <t>Total number of installed doors</t>
  </si>
  <si>
    <t>BASELOADSMURB</t>
  </si>
  <si>
    <t>Total MURB base load energy (MJ/year)</t>
  </si>
  <si>
    <t>CREDITLIGHTING</t>
  </si>
  <si>
    <t>Total lighting credit in kWh (only available for files prior to v11)</t>
  </si>
  <si>
    <t>EGHFCONTOTAL</t>
  </si>
  <si>
    <t>Total energy consumption (MJ)</t>
  </si>
  <si>
    <t>ERSDesCoolLoss</t>
  </si>
  <si>
    <t>Total design cooling load (Watts)</t>
  </si>
  <si>
    <t>ERSRENEWABLEPROD</t>
  </si>
  <si>
    <t>Total Annual Renewable Energy Produced in MJ</t>
  </si>
  <si>
    <t>ERSRENEWABLEELEC</t>
  </si>
  <si>
    <t>Total annual renewable energy produced by photovoltaic systems and wind turbines (MJ)</t>
  </si>
  <si>
    <t>TEDI</t>
  </si>
  <si>
    <t>Thermal Energy Demand Intensity stated in kWh/(m2*year)</t>
  </si>
  <si>
    <t>HOT2000 v11.10</t>
  </si>
  <si>
    <t>NUMSOLSYS</t>
  </si>
  <si>
    <t>The total number of solar domestic hot water systems in the file</t>
  </si>
  <si>
    <t>ENERGYPERFORMANCETIER</t>
  </si>
  <si>
    <t>The proposed house’s resulting energy performance tier for the purpose of compliance to the Energy Performance Tiers in NBC 9.36.6</t>
  </si>
  <si>
    <t>EUGRWINDOWSPRIORITY</t>
  </si>
  <si>
    <t>The order that the window upgrade has been prioritized by the energy advisor.</t>
  </si>
  <si>
    <t>HOT2000 v11.3</t>
  </si>
  <si>
    <t>EUGRHOTWATERPRIORITY</t>
  </si>
  <si>
    <t>The order that the water heater upgrade has been prioritized by the energy advisor.</t>
  </si>
  <si>
    <t>EUGRVENTILATIONPRIORITY</t>
  </si>
  <si>
    <t>The order that the ventilation upgrade has been prioritized by the energy advisor.</t>
  </si>
  <si>
    <t>EUGRMAINWALLSPRIORITY</t>
  </si>
  <si>
    <t>The order that the main walls upgrade has been prioritized by the energy advisor.</t>
  </si>
  <si>
    <t>EUGRHEATINGPRIORITY</t>
  </si>
  <si>
    <t>The order that the heating upgrade has been prioritized by the energy advisor.</t>
  </si>
  <si>
    <t>EUGRFOUNDATIONPRIORITY</t>
  </si>
  <si>
    <t>The order that the foundation upgrade has been prioritized by the energy advisor.</t>
  </si>
  <si>
    <t>EUGRFLOORPRIORITY</t>
  </si>
  <si>
    <t>The order that the exposed floor upgrade has been prioritized by the energy advisor.</t>
  </si>
  <si>
    <t>EUGRDOORSPRIORITY</t>
  </si>
  <si>
    <t>The order that the door upgrade has been prioritized by the energy advisor.</t>
  </si>
  <si>
    <t>EUGRCOOLINGPRIORITY</t>
  </si>
  <si>
    <t>The order that the cooling upgrade has been prioritized by the energy advisor.</t>
  </si>
  <si>
    <t>EUGRCEILINGSPRIORITY</t>
  </si>
  <si>
    <t>The order that the ceiling upgrade has been prioritized by the energy advisor.</t>
  </si>
  <si>
    <t>EUGRCATHEDRALCEILFLATPRIORITY</t>
  </si>
  <si>
    <t>The order that the cathedral ceiling upgrade has been prioritized by the energy advisor.</t>
  </si>
  <si>
    <t>EUGRAIRTIGHTNESSPRIORITY</t>
  </si>
  <si>
    <t>The order that the airtightness upgrade has been prioritized by the energy advisor.</t>
  </si>
  <si>
    <t>NUMWINU122</t>
  </si>
  <si>
    <t>The number of windows with a U value of &gt;1.05 and  ≤ 1.22</t>
  </si>
  <si>
    <t>NUMWINU105</t>
  </si>
  <si>
    <t>The number of windows with a U value  ≤ 1.05</t>
  </si>
  <si>
    <t>NUMER34TO39</t>
  </si>
  <si>
    <t xml:space="preserve">The number of windows meeting the  ER ≥ 34 &lt;40 characteristic </t>
  </si>
  <si>
    <t>NUMER40PLUS</t>
  </si>
  <si>
    <t xml:space="preserve">The number of windows meeting ER ≥ 40 </t>
  </si>
  <si>
    <t>NBCHOUSEENERGYTARGET</t>
  </si>
  <si>
    <t>The energy consumption of the reference house minus the electrical base loads stated in gigajoules</t>
  </si>
  <si>
    <t>NBCANNUALENEGYCONSUMPTION</t>
  </si>
  <si>
    <t>The energy consumption of the proposed house minus the electrical base loads stated in gigajoules</t>
  </si>
  <si>
    <t>TMAIN</t>
  </si>
  <si>
    <t>Temperature of the main floor in Celsius</t>
  </si>
  <si>
    <t>decimal(5,2)</t>
  </si>
  <si>
    <t>TBSMNT</t>
  </si>
  <si>
    <t>Temperature of the basement in Celsius</t>
  </si>
  <si>
    <t>EPACSASUPPHTG2</t>
  </si>
  <si>
    <t>Supplementary Heating system 2 (solid fuel burning) meets CSA or EPA standard</t>
  </si>
  <si>
    <t>EPACSASUPPHTG1</t>
  </si>
  <si>
    <t>Supplementary Heating system 1 (solid fuel burning) meets CSA or EPA standard</t>
  </si>
  <si>
    <t>SUPPHTGTYPE2</t>
  </si>
  <si>
    <t>Supplementary heating system #2 Type</t>
  </si>
  <si>
    <t>SUPPHTGFUEL2</t>
  </si>
  <si>
    <t>Supplementary heating system #2 Fuel</t>
  </si>
  <si>
    <t>SUPPHTGTYPE1</t>
  </si>
  <si>
    <t>Supplementary heating system #1 Type</t>
  </si>
  <si>
    <t>SUPPHTGFUEL1</t>
  </si>
  <si>
    <t>Supplementary heating system #1 Fuel</t>
  </si>
  <si>
    <t>TOTCSIA</t>
  </si>
  <si>
    <t>Sum of the CSIA ratings for solar domestic hot water systems in the file</t>
  </si>
  <si>
    <t>FOOTPRINT</t>
  </si>
  <si>
    <t>Sum of the areas of all foundations and exposed floors (square metres)</t>
  </si>
  <si>
    <t>INDFURSSEFF</t>
  </si>
  <si>
    <t>Steady state efficiency of independent heating system that has the largest capacity (only available for MURB files prior to v11)</t>
  </si>
  <si>
    <t>decimal(8,3)</t>
  </si>
  <si>
    <t>SOCHotWaterLoad</t>
  </si>
  <si>
    <t>Standard Operating Conditions Total estimated hot water load in L/day</t>
  </si>
  <si>
    <t>SOCOtherElectricalLoad</t>
  </si>
  <si>
    <t>Standard Operating Conditions Other electrical load in kWh/day</t>
  </si>
  <si>
    <t>SOCLightingLoad</t>
  </si>
  <si>
    <t>Standard Operating Conditions Lighting load in kWh/day</t>
  </si>
  <si>
    <t>SOCApplianceLoad</t>
  </si>
  <si>
    <t>Standard Operating Conditions Appliance load in kWh/day</t>
  </si>
  <si>
    <t>SLABFLOORAREA</t>
  </si>
  <si>
    <t>Slab floor area (square metres)</t>
  </si>
  <si>
    <t>SDHWUEF</t>
  </si>
  <si>
    <t>Secondary domestic hot water UEF</t>
  </si>
  <si>
    <t>HOT2000 v11.6</t>
  </si>
  <si>
    <t>SDHWTYPE</t>
  </si>
  <si>
    <t>Secondary domestic hot water type</t>
  </si>
  <si>
    <t>nvarchar(50)</t>
  </si>
  <si>
    <t>SDHWHPTYPE</t>
  </si>
  <si>
    <t>Secondary domestic hot water heat-pump type</t>
  </si>
  <si>
    <t>SDHWHPCOP</t>
  </si>
  <si>
    <t>Secondary domestic hot water heat-pump coefficient of performance</t>
  </si>
  <si>
    <t>decimal(8,4)</t>
  </si>
  <si>
    <t>SDHWFUEL</t>
  </si>
  <si>
    <t>Secondary domestic hot water fuel</t>
  </si>
  <si>
    <t>SDHWEF</t>
  </si>
  <si>
    <t>Secondary domestic hot water efficiency</t>
  </si>
  <si>
    <t>DEPRESSEXHAUST</t>
  </si>
  <si>
    <t>Result of the exhaust devices depressurization test</t>
  </si>
  <si>
    <t>HOUSEREGION</t>
  </si>
  <si>
    <t>Region of country where the house is located (province/territory)</t>
  </si>
  <si>
    <t>RefDesCoolLoss</t>
  </si>
  <si>
    <t>Reference House total design cooling load (Watts)</t>
  </si>
  <si>
    <t>HOT2000 v11.13</t>
  </si>
  <si>
    <t>RefSpaceEnergy</t>
  </si>
  <si>
    <t>Reference House rated annual space heating energy consumption for and ventilator electrical consumption (during heating hour) (MJ)</t>
  </si>
  <si>
    <t>RefHLWindow</t>
  </si>
  <si>
    <t>Reference House heat loss to windows (MJ)</t>
  </si>
  <si>
    <t>RefHLWalls</t>
  </si>
  <si>
    <t>Reference House heat loss to walls (MJ)</t>
  </si>
  <si>
    <t>RefHLFound</t>
  </si>
  <si>
    <t>Reference House heat loss to foundations (MJ)</t>
  </si>
  <si>
    <t>RefHLExposedFlr</t>
  </si>
  <si>
    <t>Reference House heat loss to exposed floors (MJ)</t>
  </si>
  <si>
    <t>RefHLDoor</t>
  </si>
  <si>
    <t>Reference House heat loss to doors (MJ)</t>
  </si>
  <si>
    <t>RefHLCeiling</t>
  </si>
  <si>
    <t>Reference House heat loss to ceilings (MJ)</t>
  </si>
  <si>
    <t>RefHLAir</t>
  </si>
  <si>
    <t>Reference House heat loss to air leakage (MJ)</t>
  </si>
  <si>
    <t>RefHLWinDoor</t>
  </si>
  <si>
    <t>Reference House heat loss through windows and doors (MJ)</t>
  </si>
  <si>
    <t>RefDesHtLoss</t>
  </si>
  <si>
    <t>Reference House design heating load (Watts)</t>
  </si>
  <si>
    <t>RefVentilationEnergy</t>
  </si>
  <si>
    <t xml:space="preserve">Reference House annual energy consumption for ventilation in MJ </t>
  </si>
  <si>
    <t>RefSpaceCoolEnergy</t>
  </si>
  <si>
    <t xml:space="preserve">Reference House annual energy consumption for space cooling in MJ </t>
  </si>
  <si>
    <t>RefWaterHeatEnergy</t>
  </si>
  <si>
    <t xml:space="preserve">Reference House annual energy consumption for domestic hot water heating in MJ </t>
  </si>
  <si>
    <t>ROCHotWaterLoad</t>
  </si>
  <si>
    <t>Reduced Operating Conditions Total estimated hot water load in L/day</t>
  </si>
  <si>
    <t>ROCOtherElectricalLoad</t>
  </si>
  <si>
    <t>Reduced Operating Conditions Other electrical load in kWh/day</t>
  </si>
  <si>
    <t>ROCLightingLoad</t>
  </si>
  <si>
    <t>Reduced Operating Conditions Lighting load in kWh/day</t>
  </si>
  <si>
    <t>ROCApplianceLoad</t>
  </si>
  <si>
    <t>Reduced Operating Conditions Appliance load in kWh/day</t>
  </si>
  <si>
    <t>ERSWOODGHG</t>
  </si>
  <si>
    <t>Rated Wood Green House Gas Emissions (tonnes/year)</t>
  </si>
  <si>
    <t>QTOT</t>
  </si>
  <si>
    <t>Rated total combined natural and mechanical ventilation in L/s</t>
  </si>
  <si>
    <t>ERSPROPGHG</t>
  </si>
  <si>
    <t>Rated Propane Annual Green House Gas Emissions (tonnes/year)</t>
  </si>
  <si>
    <t>ERSOILGHG</t>
  </si>
  <si>
    <t>Rated Oil Annual Green House Gas Emissions (tonnes/year)</t>
  </si>
  <si>
    <t>ERSNGASGHG</t>
  </si>
  <si>
    <t>Rated Natural Gas Annual Green House Gas Emissions (tonnes/year)</t>
  </si>
  <si>
    <t>ERSENERGYINTENSITY</t>
  </si>
  <si>
    <t>Rated Energy Intensity (Actual EnerGuide System Rating divided by the heated floor area)</t>
  </si>
  <si>
    <t>ERSELECGHG</t>
  </si>
  <si>
    <t>Rated Electricity Annual Green House Gas Emissions (tonnes/year)</t>
  </si>
  <si>
    <t>ERSWATERHEATINGENERGY</t>
  </si>
  <si>
    <t>Rated Domestic Hot Water Energy Consumption (MJ)</t>
  </si>
  <si>
    <t>ERSVENTILATIONENERGY</t>
  </si>
  <si>
    <t>Rated Annual Ventilation Energy Consumption in MJ (Base Case - Standard Operating Conditions)</t>
  </si>
  <si>
    <t>EGHSPACEENERGY</t>
  </si>
  <si>
    <t>Rated annual space heating energy consumption and ventilator electrical consumption (during heating hour) (MJ)</t>
  </si>
  <si>
    <t>ERSRENEWABLESOLARGHG</t>
  </si>
  <si>
    <t>Rated Annual Green House Gas Emissions that is offset by the Solar Domestic Water Heating Energy Contribution in tonnes/year</t>
  </si>
  <si>
    <t>ERSRENEWABLEELECGHG</t>
  </si>
  <si>
    <t>Rated Annual Green House Gas Emissions that is offset by the Renewable Electricity Production in tonnes/year</t>
  </si>
  <si>
    <t>ERSOTHERELECENERGY</t>
  </si>
  <si>
    <t>Rated Annual Energy Consumption for Other Electrical in MJ (Base Case - Standard Operating Conditions)</t>
  </si>
  <si>
    <t>ERSLIGHTAPPLIANCEENERGY</t>
  </si>
  <si>
    <t>Rated Annual Energy Consumption for Lights and Appliances in MJ (Base Case - Standard Operating Conditions)</t>
  </si>
  <si>
    <t>UGREPACSA</t>
  </si>
  <si>
    <t>Proposed Wood Fireplace or insert meets EPA or CSA  standards, else equal N/A</t>
  </si>
  <si>
    <t>UWINDOWCODENUM</t>
  </si>
  <si>
    <t>Proposed window code used most often in the file. Ignores user defined codes.</t>
  </si>
  <si>
    <t>UGRCREDIT_WIND</t>
  </si>
  <si>
    <t>Proposed wind power credit in kWh</t>
  </si>
  <si>
    <t>UGRWATERPROOF</t>
  </si>
  <si>
    <t>Proposed waterproofing for basements (1 = yes, 0 = no)</t>
  </si>
  <si>
    <t>UGRWALLINS</t>
  </si>
  <si>
    <t>Proposed wall effective insulation RSI value</t>
  </si>
  <si>
    <t>UCENVENTSYSTYPE</t>
  </si>
  <si>
    <t>Proposed ventilation system type</t>
  </si>
  <si>
    <t>UGRINDFURNACETP</t>
  </si>
  <si>
    <t>Proposed type of largest independent heating system (only available for MURB files prior to v11)</t>
  </si>
  <si>
    <t>UGRFNDTYPE</t>
  </si>
  <si>
    <t>Proposed type of foundation (B = Basement wall, P = Pony wall, C = crawl space, S = slab on grade, F = Floor above crawl space)</t>
  </si>
  <si>
    <t>UGRAIRCONDTYPE</t>
  </si>
  <si>
    <t>Proposed type of A/C System (Central split System, Central single package system, Ductless Mini- or Multi-split system, Compact Ducted Mini- or Multi-split system, and Coils Only) or “Not installed”</t>
  </si>
  <si>
    <t>UGRTOTALVENTSUP</t>
  </si>
  <si>
    <t>Proposed total ventilation supply rate (L/s)</t>
  </si>
  <si>
    <t>UGRTOTALVENTEXH</t>
  </si>
  <si>
    <t>Proposed total ventilation exhaust rate (L/s)</t>
  </si>
  <si>
    <t>UGRFCONTOTAL</t>
  </si>
  <si>
    <t>Proposed total energy consumption (MJ)</t>
  </si>
  <si>
    <t>UGRCRITTOTACH</t>
  </si>
  <si>
    <t>Proposed total critical air change per hour</t>
  </si>
  <si>
    <t>UGRERSRenewableProd</t>
  </si>
  <si>
    <t xml:space="preserve">Proposed total available renewable energy production (electricity generation and solar DHW contribution) in MJ, capped at total annual energy consumption </t>
  </si>
  <si>
    <t>UGRERSRenewableElec</t>
  </si>
  <si>
    <t>Proposed total annual renewable energy produced by photovoltaic systems and wind turbines (MJ), uncapped</t>
  </si>
  <si>
    <t>UGRERSGHG</t>
  </si>
  <si>
    <t>Proposed Total Annual Green House Gas Emissions in tonnes/year</t>
  </si>
  <si>
    <t>UEPACSASUPPHTG2</t>
  </si>
  <si>
    <t>Proposed Supplementary Heating system 2 (soild fuel burning) meets CSA or EPA standard</t>
  </si>
  <si>
    <t>UEPACSASUPPHTG1</t>
  </si>
  <si>
    <t>Proposed Supplementary Heating system 1 (solid fuel burning) meets CSA or EPA standard</t>
  </si>
  <si>
    <t>UGRSUPPHTGTYPE2</t>
  </si>
  <si>
    <t>Proposed supplementary heating system #2 Type</t>
  </si>
  <si>
    <t>UGRSUPPHTGFUEL2</t>
  </si>
  <si>
    <t>Proposed supplementary heating system #2 Fuel</t>
  </si>
  <si>
    <t>UGRSUPPHTGTYPE1</t>
  </si>
  <si>
    <t>Proposed supplementary heating system #1 Type</t>
  </si>
  <si>
    <t>UGRSUPPHTGFUEL1</t>
  </si>
  <si>
    <t>Proposed supplementary heating system #1 Fuel</t>
  </si>
  <si>
    <t>UGRSUMPPUMP</t>
  </si>
  <si>
    <t>Proposed sump pump with alarm and battery backup (1 = yes, 0 = no)</t>
  </si>
  <si>
    <t>UGRINDFURSSEFF</t>
  </si>
  <si>
    <t>Proposed steady state efficiency of largest independent heating system (only available for MURB files prior to v11)</t>
  </si>
  <si>
    <t>UGRSDHWSYSTYPE</t>
  </si>
  <si>
    <t>Proposed secondary domestic hot water type</t>
  </si>
  <si>
    <t>UGRSDHWESTAR</t>
  </si>
  <si>
    <t>Proposed secondary domestic hot water is ENERGY STAR certified (ESTAR, or N/A)</t>
  </si>
  <si>
    <t>nvarchar(25)</t>
  </si>
  <si>
    <t>HOT2000 v10.50</t>
  </si>
  <si>
    <t>UGRSDHWHPTYPE</t>
  </si>
  <si>
    <t>Proposed secondary domestic hot water heat-pump type</t>
  </si>
  <si>
    <t>UGRSDHWHPCOP</t>
  </si>
  <si>
    <t>Proposed secondary domestic hot water heat-pump coefficient of performance</t>
  </si>
  <si>
    <t>UGRSDHWSYSFUEL</t>
  </si>
  <si>
    <t>Proposed secondary domestic hot water fuel</t>
  </si>
  <si>
    <t>UGRSDHWUEF</t>
  </si>
  <si>
    <t>Proposed secondary domestic hot water efficiency (UEF)</t>
  </si>
  <si>
    <t>UGRSDHWSYSEF</t>
  </si>
  <si>
    <t>Proposed secondary domestic hot water efficiency (EF)</t>
  </si>
  <si>
    <t>UGRERSRenewableSolar</t>
  </si>
  <si>
    <t>Proposed renewable solar DHW contribution in MJ, uncapped</t>
  </si>
  <si>
    <t>UGRERSVENTILATIONENERGY</t>
  </si>
  <si>
    <t>Proposed Rated Ventilation Energy Consumption in MJ</t>
  </si>
  <si>
    <t>UGRERSENERGYINTENSITY</t>
  </si>
  <si>
    <t>Proposed Rated Energy Intensity (Proposed EnerGuide Rating divided by the heated floor area) (GJ/square metres)</t>
  </si>
  <si>
    <t>UGRERSWATERHEATINGENERGY</t>
  </si>
  <si>
    <t>Proposed Rated Domestic Hot Water Energy Consumption in MJ based on Standard Operating Conditions</t>
  </si>
  <si>
    <t>UGRSPACEENERGY</t>
  </si>
  <si>
    <t>Proposed rated annual space heating energy consumption for and ventilator electrical consumption (during heating hour) (MJ)</t>
  </si>
  <si>
    <t>UGRERSOTHERELECENERGY</t>
  </si>
  <si>
    <t>Proposed Rated Annual Energy Consumption for Other Electrical in MJ based on Standard Operating Conditions</t>
  </si>
  <si>
    <t>UGRERSLIGHTAPPLIANCEENERGY</t>
  </si>
  <si>
    <t>Proposed Rated Annual Energy Consumption for Lights and Appliances in MJ based on Standard Operating Conditions</t>
  </si>
  <si>
    <t>UGRPROGSMARTTHERMOSTAT</t>
  </si>
  <si>
    <t>Proposed programmable, smart or adaptive thermostats (1 = yes, 0 = no)</t>
  </si>
  <si>
    <t>UGRFURNACETYP</t>
  </si>
  <si>
    <t>Proposed primary heating equipment type</t>
  </si>
  <si>
    <t>UGRFURNACEFUEL</t>
  </si>
  <si>
    <t>Proposed primary heating equipment fuel type</t>
  </si>
  <si>
    <t>UGRFURNACEEFF</t>
  </si>
  <si>
    <t>Proposed primary heating equipment efficiency (steady state)</t>
  </si>
  <si>
    <t>UGRHEATAFUE</t>
  </si>
  <si>
    <t>Proposed primary heating equipment AFUE value</t>
  </si>
  <si>
    <t>UGRPDHWESTAR</t>
  </si>
  <si>
    <t>Proposed primary domestic hot water is ENERGY STAR certified (ESTAR, or N/A)</t>
  </si>
  <si>
    <t>UGRPDHWUEF</t>
  </si>
  <si>
    <t>Proposed primary domestic hot water efficiency (in UEF)</t>
  </si>
  <si>
    <t>UGRCREDIT_PV</t>
  </si>
  <si>
    <t>Proposed photovoltaic credit in kWh, capped to maximum electricity consumption</t>
  </si>
  <si>
    <t>UGRNUMWINU105</t>
  </si>
  <si>
    <t xml:space="preserve">Proposed number of windows with a U value ≤ 1.05  </t>
  </si>
  <si>
    <t>UGRNUMWINU122</t>
  </si>
  <si>
    <t>Proposed number of windows with a U value &gt; 1.05 and  ≤ 1.22</t>
  </si>
  <si>
    <t>UGRNUMER40PLUS</t>
  </si>
  <si>
    <t>Proposed number of windows meeting ER ≥ 40</t>
  </si>
  <si>
    <t>UGRNUMER34TO39</t>
  </si>
  <si>
    <t>Proposed number of windows meeting ER ≥ 34 and &lt; 40</t>
  </si>
  <si>
    <t>UGRACWINDESTAR</t>
  </si>
  <si>
    <t>Proposed number of window A/C unit that are ENERGY STAR certified (0,1,2,3,4…)</t>
  </si>
  <si>
    <t>UGRACWINDNUM</t>
  </si>
  <si>
    <t>Proposed number of window A/C unit (installed and recommended)</t>
  </si>
  <si>
    <t>ULFTOILETS</t>
  </si>
  <si>
    <t>Proposed number of low-flow toilets</t>
  </si>
  <si>
    <t>UGRNUMWINESTAR</t>
  </si>
  <si>
    <t>Proposed number of ENERGY STAR certified windows (installed + recommended)</t>
  </si>
  <si>
    <t>UGRNUMDOORESTAR</t>
  </si>
  <si>
    <t>Proposed number of ENERGY STAR certified doors (installed and recommended)</t>
  </si>
  <si>
    <t>UGRNELECTHERMOS</t>
  </si>
  <si>
    <t>Proposed Number of Electronic Thermostats (0,1,2,3...)</t>
  </si>
  <si>
    <t>UDWHRL1M</t>
  </si>
  <si>
    <t>Proposed number of Drain-water heat recovery smaller than 1 meter</t>
  </si>
  <si>
    <t>UDWHRM1M</t>
  </si>
  <si>
    <t>Proposed number of Drain-water heat recovery greater than 1 meter</t>
  </si>
  <si>
    <t>UGRMINR10EXPFLOOR</t>
  </si>
  <si>
    <t>Proposed installation of a minimum of R10 continuous exposed floor insulation in northern communities (1 = yes, 0 = no)</t>
  </si>
  <si>
    <t>UGRHVIEQUIP</t>
  </si>
  <si>
    <t>Proposed HRV/ERV is Home Ventilating Institute (HVI) certified (HVI or N/A)</t>
  </si>
  <si>
    <t>UGRFURSEASEFF</t>
  </si>
  <si>
    <t>Proposed heating system Seasonal Efficiency</t>
  </si>
  <si>
    <t>UGRFURDCMOTOR</t>
  </si>
  <si>
    <t>Proposed heating system fan/pump energy efficient motor 1=Yes, 0=No</t>
  </si>
  <si>
    <t>UGRHPTYPE</t>
  </si>
  <si>
    <t>Proposed heat pump type (air, water, ground, or N/A)</t>
  </si>
  <si>
    <t>UGRHPCOP</t>
  </si>
  <si>
    <t>Proposed heat pump coefficient of performance</t>
  </si>
  <si>
    <t>UGRERSHLWINDOW</t>
  </si>
  <si>
    <t>Proposed Heat loss through windows in GJ/year</t>
  </si>
  <si>
    <t>UGRERSHLDOOR</t>
  </si>
  <si>
    <t>Proposed Heat loss through doors in GJ/year</t>
  </si>
  <si>
    <t>UGRFNDHDR</t>
  </si>
  <si>
    <t>Proposed foundation header insulation (percentage of header area, followed by the nominal R-value)
For v10 files: Basement header only, crawl space headers were modeled as part of crawl space walls
For v11.3-11.12 files: Basement and crawl space header
For v11.13 files: Basement header only, crawl space headers are reported under the CSHDR field</t>
  </si>
  <si>
    <t>UGRFNDINS</t>
  </si>
  <si>
    <t>Proposed foundation effective insulation RSI value</t>
  </si>
  <si>
    <t>UGRINEXPOSEDFLR</t>
  </si>
  <si>
    <t>Proposed exposed floor effective insulation RSI value</t>
  </si>
  <si>
    <t>UGRWindowsERSRating</t>
  </si>
  <si>
    <t>Proposed ERS rating for window upgrade recommendation (GJ)</t>
  </si>
  <si>
    <t>UGRVentilationERSRating</t>
  </si>
  <si>
    <t>Proposed ERS rating for ventilation upgrade recommendation (GJ)</t>
  </si>
  <si>
    <t>UGRHeatingERSRating</t>
  </si>
  <si>
    <t>Proposed ERS rating for space heating system upgrade recommendation (GJ)</t>
  </si>
  <si>
    <t xml:space="preserve">UGRCoolingERSRating </t>
  </si>
  <si>
    <t>Proposed ERS rating for space cooling system upgrade recommendation (GJ)</t>
  </si>
  <si>
    <t>UGRGenerationERSRating</t>
  </si>
  <si>
    <t>Proposed ERS rating for renewable energy generation upgrade recommendation (GJ)</t>
  </si>
  <si>
    <t>UGRWallsERSRating</t>
  </si>
  <si>
    <t>Proposed ERS rating for main wall upgrade recommendation (GJ)</t>
  </si>
  <si>
    <t>UGRFoundationERSRating</t>
  </si>
  <si>
    <t>Proposed ERS rating for foundation upgrade recommendation (GJ)</t>
  </si>
  <si>
    <t>UGRExposedFloorERSRating</t>
  </si>
  <si>
    <t>Proposed ERS rating for exposed floor upgrade recommendation (GJ)</t>
  </si>
  <si>
    <t>UGRDoorsERSRating</t>
  </si>
  <si>
    <t>Proposed ERS rating for door upgrade recommendation (GJ)</t>
  </si>
  <si>
    <t>UGRHotWaterERSRating</t>
  </si>
  <si>
    <t>Proposed ERS rating for domestic hot water system upgrade recommendation (GJ)</t>
  </si>
  <si>
    <t>UGRCeilingCathFlatERSRating</t>
  </si>
  <si>
    <t>Proposed ERS rating for cathedral or falt ceiling upgrade recommendation (GJ)</t>
  </si>
  <si>
    <t>UGRCeilingsERSRating</t>
  </si>
  <si>
    <t>Proposed ERS rating for attic ceiling upgrade recommendation (GJ)</t>
  </si>
  <si>
    <t>UGRAirTightnessERSRating</t>
  </si>
  <si>
    <t>Proposed ERS rating for airtightness upgrade recommendation (GJ)</t>
  </si>
  <si>
    <t>UGRERSRATING</t>
  </si>
  <si>
    <t>Proposed EnerGuide Rating in GJ/year</t>
  </si>
  <si>
    <t>UGRRATING</t>
  </si>
  <si>
    <t>Proposed EnerGuide rating for 0-100 scale  (only available for files prior to v11)</t>
  </si>
  <si>
    <t>UGRSDRAWPATTERN</t>
  </si>
  <si>
    <t>Proposed draw pattern for secondary domestic hot water</t>
  </si>
  <si>
    <t>nvarchar(255)</t>
  </si>
  <si>
    <t>UGRDHWHPTYPE</t>
  </si>
  <si>
    <t>Proposed domestic hot water heat pump system type</t>
  </si>
  <si>
    <t>UGRDHWHPCOP</t>
  </si>
  <si>
    <t>Proposed domestic hot water heat pump system coefficient of performance</t>
  </si>
  <si>
    <t>UGRDHWSYSTYPE</t>
  </si>
  <si>
    <t>Proposed domestic hot water equipment type</t>
  </si>
  <si>
    <t>UGRDHWSYSFUEL</t>
  </si>
  <si>
    <t>Proposed domestic hot water equipment fuel type</t>
  </si>
  <si>
    <t>UGRDHWSYSEF</t>
  </si>
  <si>
    <t>Proposed domestic hot water equipment efficiency (EF)</t>
  </si>
  <si>
    <t>UGRDESHTLOSS</t>
  </si>
  <si>
    <t>Proposed design heat loss in Watts</t>
  </si>
  <si>
    <t>UGRWALLDEF</t>
  </si>
  <si>
    <t>Proposed description of wall insulation (displays percentage of wall area, followed by the nominal R-value)</t>
  </si>
  <si>
    <t>nvarchar(1024)</t>
  </si>
  <si>
    <t>UGRCRITNATACH</t>
  </si>
  <si>
    <t>Proposed critical natural air change per hour</t>
  </si>
  <si>
    <t>UGRMOISTUREPROOFCS</t>
  </si>
  <si>
    <t>Proposed crawl space moisture proofing (1 = yes, 0 = no)</t>
  </si>
  <si>
    <t>UGRCSHDR</t>
  </si>
  <si>
    <t>Proposed crawl space header insulation (percentage of header area, followed by the nominal R-value)</t>
  </si>
  <si>
    <t>decimal(3,1)</t>
  </si>
  <si>
    <t>UGRFCONWOOD</t>
  </si>
  <si>
    <t>Proposed consumption of wood (tonne)</t>
  </si>
  <si>
    <t>UGRFCONPROP</t>
  </si>
  <si>
    <t>Proposed consumption of propane (litres)</t>
  </si>
  <si>
    <t>UGRFCONOIL</t>
  </si>
  <si>
    <t>Proposed consumption of oil (litres)</t>
  </si>
  <si>
    <t>UGRFCONNGAS</t>
  </si>
  <si>
    <t>Proposed consumption of natural gas (cubic metres)</t>
  </si>
  <si>
    <t>UGRFCONELEC</t>
  </si>
  <si>
    <t>Proposed consumption of electricity (kWh)</t>
  </si>
  <si>
    <t>UGRCCASHP</t>
  </si>
  <si>
    <t>Proposed cold climate air-source heat pump (1 = yes, 0 = no)</t>
  </si>
  <si>
    <t>UGRAIRCOP</t>
  </si>
  <si>
    <t>Proposed coefficient of performance for A/C system</t>
  </si>
  <si>
    <t>UGRACCENTESTAR</t>
  </si>
  <si>
    <t>Proposed central A/C is ENERGY STAR (ESTAR or N/A)</t>
  </si>
  <si>
    <t>UGRCEILINGTYPE</t>
  </si>
  <si>
    <t>Proposed ceiling type (‘A’ for a gable/hip/scissor attic, or ‘F’ for a flat or cathedral attic)</t>
  </si>
  <si>
    <t>UGRCEILINS</t>
  </si>
  <si>
    <t>Proposed ceiling effective insulation RSI value</t>
  </si>
  <si>
    <t>UGRDHWCSIA</t>
  </si>
  <si>
    <t>Proposed Canadian Solar Industry Association rating for solar Domestic Hot water system (MJ/y)</t>
  </si>
  <si>
    <t>UGRBATTERYSTORAGE</t>
  </si>
  <si>
    <t>Proposed battery storage installation/replacement (1 = yes, 0 = no)</t>
  </si>
  <si>
    <t>WATERPROOF</t>
  </si>
  <si>
    <t>Proposed basement waterproofing (1 = yes, 0 = no)</t>
  </si>
  <si>
    <t>UGRSLABINSUL</t>
  </si>
  <si>
    <t>Proposed basement slab insulation (1 = yes, 0 = no)</t>
  </si>
  <si>
    <t>UGRFURNACEAEC</t>
  </si>
  <si>
    <t>Proposed annual energy consumption for the Type 1 heating system in MJ</t>
  </si>
  <si>
    <t>UGRERSSPACECOOLENERGY</t>
  </si>
  <si>
    <t>Proposed Annual Energy Consumption for Space Cooling in MJ based on Standard Operating Conditions</t>
  </si>
  <si>
    <t>UGRERSPVAvailableEnergy</t>
  </si>
  <si>
    <t>Proposed amount of photovoltaic energy generated on site in kWh, uncapped</t>
  </si>
  <si>
    <t>UGRHPESTAR</t>
  </si>
  <si>
    <t>Proposed Air Source HP is ENERGY STAR (ESTAR, or N/A)</t>
  </si>
  <si>
    <t>UGRAIR50PA</t>
  </si>
  <si>
    <t>Proposed air change per hour target at 50 Pa</t>
  </si>
  <si>
    <t>UGRROOFINGMEMBRANE</t>
  </si>
  <si>
    <t>Proposed adhesive waterproof ice and water barrier underlayment for roofs (1 = yes, 0 = no)</t>
  </si>
  <si>
    <t>FURNACETYPE</t>
  </si>
  <si>
    <t>Primary heating equipment type</t>
  </si>
  <si>
    <t>FURNACEFUEL</t>
  </si>
  <si>
    <t>Primary heating equipment fuel type</t>
  </si>
  <si>
    <t>FURSSEFF</t>
  </si>
  <si>
    <t>Primary heating equipment efficiency (Steady State efficiency)</t>
  </si>
  <si>
    <t>HEATAFUE</t>
  </si>
  <si>
    <t>Primary heating equipment AFUE value</t>
  </si>
  <si>
    <t>PDHWUEF</t>
  </si>
  <si>
    <t>Primary domestic hot water UEF</t>
  </si>
  <si>
    <t>PDHWESTAR</t>
  </si>
  <si>
    <t>Primary domestic hot water is ENERGY STAR certified (ecoLIST when ecoEnergy, ESTARecoLIST when both are checked, or N/A)</t>
  </si>
  <si>
    <t>PDHWTYPE</t>
  </si>
  <si>
    <t>Primary domestic hot water equipment type</t>
  </si>
  <si>
    <t>PRIDHWMODEL</t>
  </si>
  <si>
    <t>Primary Domestic Hot Water equipment model</t>
  </si>
  <si>
    <t>PDHWFUEL</t>
  </si>
  <si>
    <t>Primary domestic hot water equipment fuel type</t>
  </si>
  <si>
    <t>PDHWEF</t>
  </si>
  <si>
    <t>Primary domestic hot water equipment efficiency</t>
  </si>
  <si>
    <t>PONYWALLEXISTS</t>
  </si>
  <si>
    <t>Presence of pony walls (0 = No, 1 = Yes)</t>
  </si>
  <si>
    <t>CREDITPV</t>
  </si>
  <si>
    <t>Photovoltaic credit in kWh, capped to maximum electricity consumption</t>
  </si>
  <si>
    <t>CREDITOTH1OTH2</t>
  </si>
  <si>
    <t>Other credit in kWh (only available for files prior to v11)</t>
  </si>
  <si>
    <t>MURBWOODHEAT</t>
  </si>
  <si>
    <t>Number of wood appliances present in the MURB units</t>
  </si>
  <si>
    <t>ACWINDESTAR</t>
  </si>
  <si>
    <t>Number of Window unit A/C that are ENERGY STAR certified (0,1,2,3,4...)</t>
  </si>
  <si>
    <t>ACWINDNUM</t>
  </si>
  <si>
    <t>Number of window unit A/C</t>
  </si>
  <si>
    <t>VISITEDUNITS</t>
  </si>
  <si>
    <t>Number of MURB units visited during evaluation</t>
  </si>
  <si>
    <t>UNITSCONNECTEDDWHR</t>
  </si>
  <si>
    <t>Number of Multi-Unit Residential Building (MURB) units connected to a drain water heat recovery system</t>
  </si>
  <si>
    <t>LFTOILETS</t>
  </si>
  <si>
    <t>Number of low-flow toilets</t>
  </si>
  <si>
    <t>MURBDHWINS</t>
  </si>
  <si>
    <t>Number of instantaneous domestic hot water tanks in a MURB</t>
  </si>
  <si>
    <t>NUMWINESTAR</t>
  </si>
  <si>
    <t>Number of installed ENERGY STAR certified windows</t>
  </si>
  <si>
    <t>NUMDOORESTAR</t>
  </si>
  <si>
    <t>Number of installed ENERGY STAR certified doors</t>
  </si>
  <si>
    <t>MURBHRVHVI</t>
  </si>
  <si>
    <t>Number of HVI heat recovery ventilators in MURB</t>
  </si>
  <si>
    <t>STOREYS</t>
  </si>
  <si>
    <t>Number of floors above grade (if buildingtype = Multi-unit: one unit assessed, this field refers to the number of floors above grade for the unit)</t>
  </si>
  <si>
    <t>MURBWOODEPA</t>
  </si>
  <si>
    <t>Number of EPA/CSA heating systems in MURB</t>
  </si>
  <si>
    <t>MURBASHPESTAR</t>
  </si>
  <si>
    <t>Number of ENERGY STAR qualified air-source heat pumps in a MURB</t>
  </si>
  <si>
    <t>UMURBDHWINSES</t>
  </si>
  <si>
    <t>Number of ENERGY STAR instantaneous domestic hot water tanks in the units in the upgrade case</t>
  </si>
  <si>
    <t>MURBDHWINSES</t>
  </si>
  <si>
    <t>Number of ENERGY STAR instantaneous domestic hot water tanks in the units</t>
  </si>
  <si>
    <t>MURBDHWCONDINSES</t>
  </si>
  <si>
    <t>Number of ENERGY STAR instantaneous (condensing) domestic hot water in the units</t>
  </si>
  <si>
    <t>MURBHSESTAR</t>
  </si>
  <si>
    <t>Number of ENERGY STAR heating systems in MURB</t>
  </si>
  <si>
    <t>UMURBDHWCONDINES</t>
  </si>
  <si>
    <t>Number of ENERGY STAR certified instantaneous (condensing) domestic hot water tanks in the MURB units in the upgrade case</t>
  </si>
  <si>
    <t>NELECTHERMOS</t>
  </si>
  <si>
    <t>Number of Electronic Thermostats (0,1,2,3...)</t>
  </si>
  <si>
    <t>MURBDWHRM1M</t>
  </si>
  <si>
    <t>Number of Drain water heat recovery coils with efficiency between 43 and 54 % in MURB</t>
  </si>
  <si>
    <t>MURBDWHRL1M</t>
  </si>
  <si>
    <t>Number of Drain water heat recovery coils with efficiency between 30 to 42 % in MURB</t>
  </si>
  <si>
    <t>CoolingSeasonMonths</t>
  </si>
  <si>
    <t xml:space="preserve">Number of cooling months </t>
  </si>
  <si>
    <t>MURBDHWCOND</t>
  </si>
  <si>
    <t>Number of condensing domestic hot water tanks in a MURB</t>
  </si>
  <si>
    <t>NLR</t>
  </si>
  <si>
    <t>Normalized Leakage Rate (calculated by multiplying the AIR50P value by the house volume, divided by the entire surface area)</t>
  </si>
  <si>
    <t>nvarchar(20)</t>
  </si>
  <si>
    <t>HOT2000 v11.9</t>
  </si>
  <si>
    <t>NLA</t>
  </si>
  <si>
    <t>Normalized Leakage Area (NLA is calculated by dividing the Equivalent Leakage Area at 10 Pa by the area of the exterior building envelope)</t>
  </si>
  <si>
    <t>MURBHTSYSTEMDIS</t>
  </si>
  <si>
    <t>MURB central distribution system (All units central, all independent, combo) (only available for files prior to v11)</t>
  </si>
  <si>
    <t>ACMODELNUMBER</t>
  </si>
  <si>
    <t>Model number of the A/C or heat pump with Heating/Cooling</t>
  </si>
  <si>
    <t>RULESETTYPE</t>
  </si>
  <si>
    <t>Mode selected within HOT2000 (EnerGuide Rating System (2015 NBC), Ontario Reference House, EnerGuide Rating System 2020 NBC)</t>
  </si>
  <si>
    <t>MEUI</t>
  </si>
  <si>
    <t>Mechanical Energy Use Intensity (kWh/(m2*year))</t>
  </si>
  <si>
    <t>MAINWALLINS</t>
  </si>
  <si>
    <t>Main walls effective insulation RSI value</t>
  </si>
  <si>
    <t>PROGRAMNAME</t>
  </si>
  <si>
    <t>Indicates which version of HOT2000 was used (e.g. HOT2000 v.9.34c, HOT2000 v.10.51, HOT2000 v.11.6)</t>
  </si>
  <si>
    <t>nvarchar(30)</t>
  </si>
  <si>
    <t>ELGNBCCMP</t>
  </si>
  <si>
    <t>Indicates whether the proposed design is within the scope of what is eligible to use the performance compliance path of the NBC Section 9.36 (true or false value)</t>
  </si>
  <si>
    <t>nvarchar(5)</t>
  </si>
  <si>
    <t>BUILDINGTYPE</t>
  </si>
  <si>
    <t>Indicates what type of building is being assessed (House, Multi-unit: one unit, or Multi-unit: whole building)</t>
  </si>
  <si>
    <t>HPEquipType</t>
  </si>
  <si>
    <t>Indicates the type of heat pump (Central split System, Central single package system, Ductless Mini- or Multi-split system, Compact Ducted Mini- or Multi-split system, and Coils Only)</t>
  </si>
  <si>
    <t>char(100)</t>
  </si>
  <si>
    <t xml:space="preserve">CCASHPHSPF2 </t>
  </si>
  <si>
    <t>Indicates the rated heating efficiency for a cold climate air source heat pump (HSPF2 (region V) value or 0)</t>
  </si>
  <si>
    <t xml:space="preserve">CCASHPHSPF </t>
  </si>
  <si>
    <t>Indicates the rated heating efficiency for a cold climate air source heat pump (HSPF (region IV) value or 0)</t>
  </si>
  <si>
    <t xml:space="preserve">CCASHPSEER </t>
  </si>
  <si>
    <t>Indicates the rated cooling efficiency of a cold climate air source heat pump (SEER value or 0)</t>
  </si>
  <si>
    <t xml:space="preserve">CCASHPSEER2 </t>
  </si>
  <si>
    <t>Indicates the rated cooling efficiency of  a cold climate air source heat pump (SEER2 value or 0)</t>
  </si>
  <si>
    <t>UGRHPEquipType</t>
  </si>
  <si>
    <t>Indicates the proposed type of heat pump (Central split System, Central single package system, Ductless Mini- or Multi-split system, Compact Ducted Mini- or Multi-split system, and Coils Only)</t>
  </si>
  <si>
    <t>PROGSMARTTHERMOSTAT</t>
  </si>
  <si>
    <t>Indicates the presence of programmable, smart or adaptive thermostats (1 = yes, 0 = no)</t>
  </si>
  <si>
    <t>BATTERYSTORAGE</t>
  </si>
  <si>
    <t>Indicates the presence of battery storage for PV system (1 = yes, 0 = no)</t>
  </si>
  <si>
    <t>CCASHP</t>
  </si>
  <si>
    <t>Indicates the presence of a cold climate heat pump (1 = yes, 0 = no)</t>
  </si>
  <si>
    <t>ASHPHSPF2</t>
  </si>
  <si>
    <t>Indicates the heating efficiency of an Air Source Heat Pump (HSPF2 value or 0)</t>
  </si>
  <si>
    <t>decimal(2,3)</t>
  </si>
  <si>
    <t>ASHPHSPF</t>
  </si>
  <si>
    <t>Indicates the heating efficiency of an Air Source Heat Pump (HSPF value or 0)</t>
  </si>
  <si>
    <t>UGRASHPHSPF2</t>
  </si>
  <si>
    <t>Indicates the heating efficiency of a proposed Air Source Heat Pump (HSPF2 value or 0)</t>
  </si>
  <si>
    <t>UGRASHPHSPF</t>
  </si>
  <si>
    <t>Indicates the heating efficiency of a proposed Air Source Heat Pump (HSPF value or 0)</t>
  </si>
  <si>
    <t>EVCharger</t>
  </si>
  <si>
    <t>Indicates the ENERGY STAR number of the electric vehicle charging unit</t>
  </si>
  <si>
    <t>ASHPSEER2</t>
  </si>
  <si>
    <t>Indicates the cooling efficiency of an Air Source Heat Pump (SEER2 value or 0)</t>
  </si>
  <si>
    <t>ASHPSEER</t>
  </si>
  <si>
    <t>Indicates the cooling efficiency of an Air Source Heat Pump (SEER value or 0)</t>
  </si>
  <si>
    <t>UGREVCharger</t>
  </si>
  <si>
    <t xml:space="preserve">Indicates that an electric vehicle charging unit has been proposed (1 = yes, 0 = no) </t>
  </si>
  <si>
    <t>char(1)</t>
  </si>
  <si>
    <t>ELECAUTOCHRGSTATION</t>
  </si>
  <si>
    <t>Indicates presence of electrical charging station for an electric vehicle (True or False)</t>
  </si>
  <si>
    <t>ATYPICALENERGYLOADS</t>
  </si>
  <si>
    <t>Indicates presence of atypical energy loads (True or False)</t>
  </si>
  <si>
    <t>ElecPanelUpgraded</t>
  </si>
  <si>
    <t xml:space="preserve">Indicates if the electrical panel is upgraded (1 = yes, 0 = no) </t>
  </si>
  <si>
    <t>MOISTUREPROOFCS</t>
  </si>
  <si>
    <t>Indicates crawl space moisture proofing (1 = yes, 0 = no)</t>
  </si>
  <si>
    <t>SLABINSUL</t>
  </si>
  <si>
    <t>Indicates basement slab insulation (1 = yes, 0 = no)</t>
  </si>
  <si>
    <t>ROOFINGMEMBRANE</t>
  </si>
  <si>
    <t>Indicates adhesive waterproof ice and water barrier underlayment for roofs (1 = yes, 0 = no)</t>
  </si>
  <si>
    <t>UGRElecPanelUpgraded</t>
  </si>
  <si>
    <t xml:space="preserve">Indicates a proposed electrical panel upgrade (1 = yes, 0 = no) </t>
  </si>
  <si>
    <t>MINR10EXPFLOOR</t>
  </si>
  <si>
    <t>Indicates a minimum of R10 continuous exposed floor insulation in northern communities (1 = yes, 0 = no)</t>
  </si>
  <si>
    <t>HOUSEID</t>
  </si>
  <si>
    <t>Identifier unique to an address. All evaluations with the same address information (ClientAddr, ClientCity, HouseRegion, and ClientPCode) will have the same HouseID</t>
  </si>
  <si>
    <t>EVALUATIONSID</t>
  </si>
  <si>
    <t>Identifier representing a unique Pre and post-retrofit evaluation pair (i.e. D and E files for the same house will have the same EvaluationsId)</t>
  </si>
  <si>
    <t>int</t>
  </si>
  <si>
    <t>HVIEQUIP</t>
  </si>
  <si>
    <t>HRV/ERV is Home Ventilating Institute (HVI) certified (HVI or N/A)</t>
  </si>
  <si>
    <t>HRVEFF0C</t>
  </si>
  <si>
    <t>HRV effectiveness at 0 °C (%)</t>
  </si>
  <si>
    <t>HSEVOL</t>
  </si>
  <si>
    <t>House volume (cubic metres)</t>
  </si>
  <si>
    <t>HotWaterTemperature</t>
  </si>
  <si>
    <t>Hot Water temperature in degrees C</t>
  </si>
  <si>
    <t>CLIENTPCODE</t>
  </si>
  <si>
    <t>Homeowner postal code (where property is located) Only first 3 digits provided.</t>
  </si>
  <si>
    <t>char(7)</t>
  </si>
  <si>
    <t>HEATSYSSIZEOP</t>
  </si>
  <si>
    <t>Heating system sizing option (1 = calculated, 2 = User specified)</t>
  </si>
  <si>
    <t>FURDCMOTOR</t>
  </si>
  <si>
    <t>Heating system Fan/Pump Energy Efficient motor (1 = Yes, 0 = No)</t>
  </si>
  <si>
    <t>ThermostatHeatingNighttime</t>
  </si>
  <si>
    <t>Heating nighttime temperature in degrees C</t>
  </si>
  <si>
    <t>UGRHEATFCONSW</t>
  </si>
  <si>
    <t>Heating energy consumption - Upgrade case Wood (tonne)</t>
  </si>
  <si>
    <t>UGRHEATFCONSP</t>
  </si>
  <si>
    <t>Heating energy consumption - Upgrade case Propane (litres)</t>
  </si>
  <si>
    <t>UGRHEATFCONSO</t>
  </si>
  <si>
    <t>Heating energy consumption - Upgrade case Oil (litres)</t>
  </si>
  <si>
    <t>UGRHEATFCONSG</t>
  </si>
  <si>
    <t>Heating energy consumption - Upgrade case Natural Gas (cubic metres)</t>
  </si>
  <si>
    <t>UGRHEATFCONSE</t>
  </si>
  <si>
    <t>Heating energy consumption - Upgrade case Electric (kWh)</t>
  </si>
  <si>
    <t>EGHHEATFCONSW</t>
  </si>
  <si>
    <t>Heating energy consumption - Base Wood (tonne)</t>
  </si>
  <si>
    <t>EGHHEATFCONSP</t>
  </si>
  <si>
    <t>Heating energy consumption - Base Propane (litres)</t>
  </si>
  <si>
    <t>EGHHEATFCONSO</t>
  </si>
  <si>
    <t>Heating energy consumption - Base Oil (litres)</t>
  </si>
  <si>
    <t>EGHHEATFCONSG</t>
  </si>
  <si>
    <t>Heating energy consumption - Base Natural Gas (cubic metres)</t>
  </si>
  <si>
    <t>EGHHEATFCONSE</t>
  </si>
  <si>
    <t>Heating energy consumption - Base Electricity (kWh)</t>
  </si>
  <si>
    <t>HEATEDFLOORAREA</t>
  </si>
  <si>
    <t>Heated Floor Area (square metres)</t>
  </si>
  <si>
    <t>HPSOURCE</t>
  </si>
  <si>
    <t>Heat pump type (air, water, ground or N/A)</t>
  </si>
  <si>
    <t>COP</t>
  </si>
  <si>
    <t>Heat pump coefficient of performance</t>
  </si>
  <si>
    <t>HPCAP</t>
  </si>
  <si>
    <t>Heat pump capacity (Watts)</t>
  </si>
  <si>
    <t>EGHHLFOUND</t>
  </si>
  <si>
    <t>Heat lost through foundation (MJ)</t>
  </si>
  <si>
    <t>ERSHLWINDOW</t>
  </si>
  <si>
    <t xml:space="preserve">Heat loss to windows in GJ/year </t>
  </si>
  <si>
    <t>EGHHLEXPOSEDFLR</t>
  </si>
  <si>
    <t>Heat loss to exposed floor (MJ)</t>
  </si>
  <si>
    <t>ERSHLDOOR</t>
  </si>
  <si>
    <t>Heat loss to doors in GJ/year</t>
  </si>
  <si>
    <t>EGHHLCEILING</t>
  </si>
  <si>
    <t>Heat loss to ceilings (MJ)</t>
  </si>
  <si>
    <t>EGHHLAIR</t>
  </si>
  <si>
    <t>Heat loss to air leakage (MJ)</t>
  </si>
  <si>
    <t>EGHHLWINDOOR</t>
  </si>
  <si>
    <t>Heat loss through windows and doors (MJ)</t>
  </si>
  <si>
    <t>EGHHLWALLS</t>
  </si>
  <si>
    <t>Heat loss through walls (MJ)</t>
  </si>
  <si>
    <t>ERSTotalRenewableGHG</t>
  </si>
  <si>
    <t>GHG emissions offset by total renewable energy in tonnes/year</t>
  </si>
  <si>
    <t>ERSTotalConsGHG</t>
  </si>
  <si>
    <t>GHG emissions from total energy consumption in tonnes/year</t>
  </si>
  <si>
    <t>EGHFURSEASEFF</t>
  </si>
  <si>
    <t>Furnace Seasonal Efficiency</t>
  </si>
  <si>
    <t>FURNACEMODEL</t>
  </si>
  <si>
    <t>Furnace model</t>
  </si>
  <si>
    <t>INDFURNACEFUEL</t>
  </si>
  <si>
    <t>Fuel used by largest independent heating system (only available for MURB files prior to v11)</t>
  </si>
  <si>
    <t>FNDHDR</t>
  </si>
  <si>
    <t>Foundation header insulation (percentage of header area, followed by the nominal R-value)
For v10 files: Basement header only, crawl space headers were modeled as part of crawl space walls
For v11.3-11.12 files: Basement and crawl space header
For v11.13 files: Basement header only, crawl space headers are reported under the CSHDR field</t>
  </si>
  <si>
    <t>FNDWALLINS</t>
  </si>
  <si>
    <t>Foundation effective insulation RSI value</t>
  </si>
  <si>
    <t>ESTAR</t>
  </si>
  <si>
    <t xml:space="preserve">For v10 files: Indicates the ENERGY STAR New Homes compliance path (ESTARperf or ESTARcchtPres)
For v11 files: Indicates the ENERGY STAR New Homes performance path ("Performance") or non-ESNH house (“EGH”) 
</t>
  </si>
  <si>
    <t>EXPOSEDFLOOR</t>
  </si>
  <si>
    <t>For v10 files: Description of exposed floor insulation (displays area of exposed floor in square feet, followed by the nominal R-value)
For v11 files: Description of exposed floor insulation (displays percentage of floor area, followed by the nominal R-value)</t>
  </si>
  <si>
    <t>HOT2000 v10.20</t>
  </si>
  <si>
    <t>ENVELOPEIMPROVEMENT</t>
  </si>
  <si>
    <t>For the purpose of compliance to the National Building Code Energy Performance Tiers, this value represents the energy performance improvement of the proposed house’s building envelope over that of the reference house</t>
  </si>
  <si>
    <t>OVERALLIMPROVEMENT</t>
  </si>
  <si>
    <t xml:space="preserve">For the purpose of compliance to the National Building Code Energy Performance Tiers, this value represents the energy performance improvement of the proposed house over that of the reference house. 
For v11.10- v11.12 files: Base loads and PV are excluded, solar hot water heating is included
For v11.13 files: Base loads and all renewables are excluded. </t>
  </si>
  <si>
    <t>FLOORAREA</t>
  </si>
  <si>
    <t>Floor area of the house, calculated using the volume divided by 2.5 (square metres)</t>
  </si>
  <si>
    <t>DATASET</t>
  </si>
  <si>
    <t>Flag that indicates if the data is for the standard operating conditions (SOC) house, or the reduced operating conditions (ROC) house</t>
  </si>
  <si>
    <t>FIREPLACEDAMP2</t>
  </si>
  <si>
    <t>Fireplace (solid fuel burning equipment) #2 Damper position (0=closed, 1= Open, 2=N/A)</t>
  </si>
  <si>
    <t>FIREPLACEDAMP1</t>
  </si>
  <si>
    <t>Fireplace (solid fuel burning equipment) #1 Damper position (0=closed, 1= Open, 2=N/A)</t>
  </si>
  <si>
    <t>EGHINEXPOSEDFLR</t>
  </si>
  <si>
    <t>Exposed floor effective insulation RSI value</t>
  </si>
  <si>
    <t>ENTRYDATE</t>
  </si>
  <si>
    <t xml:space="preserve">Evaluation date (the date when the evaluation was performed). Only the month and year are provided. </t>
  </si>
  <si>
    <t>date</t>
  </si>
  <si>
    <t>LEAKAR</t>
  </si>
  <si>
    <t>Equivalent leakage area at 10 pascals</t>
  </si>
  <si>
    <t>SDHWESTAR</t>
  </si>
  <si>
    <t>Equal to "ESTAR" if the secondary domestic hot water tank is ENERGY STAR certified, "N/A" otherwise</t>
  </si>
  <si>
    <t>ERSRATING</t>
  </si>
  <si>
    <t>EnerGuide Rating System rating (GJ/year)</t>
  </si>
  <si>
    <t>EGHRATING</t>
  </si>
  <si>
    <t>EnerGuide rating for 0-100 scale (only available for files prior to v11)</t>
  </si>
  <si>
    <t>CREDITTHERMST</t>
  </si>
  <si>
    <t>Electronic thermostat credit in kWh (only available for files prior to v11)</t>
  </si>
  <si>
    <t>CREDITEGH</t>
  </si>
  <si>
    <t>EGH credit in kWh (only available for files prior to v11)</t>
  </si>
  <si>
    <t>SDRAWPATTERN</t>
  </si>
  <si>
    <t>Draw pattern for secondary domestic hot water system</t>
  </si>
  <si>
    <t>UGRPDRAWPATTERN</t>
  </si>
  <si>
    <t xml:space="preserve">Draw pattern for proposed primary domestic hot water </t>
  </si>
  <si>
    <t>PDRAWPATTERN</t>
  </si>
  <si>
    <t>Draw pattern for primary domestic hot water system</t>
  </si>
  <si>
    <t>DWHRL1M</t>
  </si>
  <si>
    <t>Drain-water heat recovery smaller than 1 meter</t>
  </si>
  <si>
    <t>DWHRM1M</t>
  </si>
  <si>
    <t>Drain-water heat recovery greater than 1 meter</t>
  </si>
  <si>
    <t>DHWHPTYPE</t>
  </si>
  <si>
    <t>Domestic hot water heat pump system type</t>
  </si>
  <si>
    <t>DHWHPCOP</t>
  </si>
  <si>
    <t>Domestic hot water heat pump system coefficient of performance</t>
  </si>
  <si>
    <t>UGRNUMBEROFHEADS</t>
  </si>
  <si>
    <t>Displays the proposed number of heads or warm air registers for mini-split air-source heat pumps</t>
  </si>
  <si>
    <t>NUMBEROFHEADS</t>
  </si>
  <si>
    <t>Displays the number of heads or warm air registers for mini-split air-source heat pumps</t>
  </si>
  <si>
    <t>NUMBUILDINGSTOREYS</t>
  </si>
  <si>
    <t>Displays the number of floors above grade (only active when Buildingtype = Multi-unit: one unit)</t>
  </si>
  <si>
    <t>EIDEF</t>
  </si>
  <si>
    <t>Displays the exterior foundation wall definition (displays percentage of foundation exterior wall area, followed by the nominal R-value)</t>
  </si>
  <si>
    <t>COMMONSPACEELECCONS</t>
  </si>
  <si>
    <t>Displays the electrical consumption in kWh of the common space area</t>
  </si>
  <si>
    <t>SECONDARYDHWTANKVOLUME</t>
  </si>
  <si>
    <t>Displays the domestic hot water tank volume for the secondary system (litres)</t>
  </si>
  <si>
    <t>PRIMARYDHWTANKVOLUME</t>
  </si>
  <si>
    <t>Displays the domestic hot water tank volume for the primary system (litres)</t>
  </si>
  <si>
    <t>EGHDESHTLOSS</t>
  </si>
  <si>
    <t>Design heat loss (Watts)</t>
  </si>
  <si>
    <t>WALLDEF</t>
  </si>
  <si>
    <t>Description of wall insulation (displays percentage of wall area, followed by the nominal R-value)</t>
  </si>
  <si>
    <t>UGRFNDDEF</t>
  </si>
  <si>
    <t>Description of proposed foundation insulation (displays percentage of foundation area, followed by the nominal R-value)</t>
  </si>
  <si>
    <t>UGREIDEF</t>
  </si>
  <si>
    <t>Description of proposed exterior foundation wall insulation (displays percentage of foundation exterior wall area, followed by the nominal R-value)</t>
  </si>
  <si>
    <t>UGEXPOSEDFLOOR</t>
  </si>
  <si>
    <t>Description of proposed exposed floor insulation (displays percentage of floor area, followed by the nominal R-value)</t>
  </si>
  <si>
    <t>UGREXPOSEDFLOORDEF</t>
  </si>
  <si>
    <t>Description of proposed exposed floor insulation (displays area of exposed floor, followed by the nominal R-value)</t>
  </si>
  <si>
    <t>UCAFLCEILINGDEF</t>
  </si>
  <si>
    <t>Description of proposed cathedral or flat roof insulation (displays percentage of ceiling area, followed by nominal R-value)</t>
  </si>
  <si>
    <t>UATTCEILINGDEF</t>
  </si>
  <si>
    <t>Description of proposed attic insulation (displays percentage of attic area, followed by the nominal R-value)</t>
  </si>
  <si>
    <t>FNDDEF</t>
  </si>
  <si>
    <t>Description of foundation insulation (displays percentage of foundation area, followed by the nominal R-value)</t>
  </si>
  <si>
    <t>EXPOSEDFLOORDEF</t>
  </si>
  <si>
    <t>Description of exposed floor insulation (displays area of exposed floor in square feet, followed by the nominal R-value)</t>
  </si>
  <si>
    <t>CAFLACEILINGDEF</t>
  </si>
  <si>
    <t>Description of cathedral or flat roof insulation (displays percentage of attic area, followed by nominal R-value)</t>
  </si>
  <si>
    <t>ATTICCEILINGDEF</t>
  </si>
  <si>
    <t>Description of attic insulation (displays percentage of attic area, followed by the nominal R-value)</t>
  </si>
  <si>
    <t>LARGESTCSIA</t>
  </si>
  <si>
    <t>CSIA rating of the largest solar domestic hot water system in the file</t>
  </si>
  <si>
    <t>EGHCRITTOTACH</t>
  </si>
  <si>
    <t>Critical total air change per hour</t>
  </si>
  <si>
    <t>EGHCRITNATACH</t>
  </si>
  <si>
    <t>Critical natural air change per hour</t>
  </si>
  <si>
    <t>CSHDR</t>
  </si>
  <si>
    <t>Crawl space header insulation (percentage of header area, followed by the nominal R-value)</t>
  </si>
  <si>
    <t>CRAWLSPFLOORAR</t>
  </si>
  <si>
    <t>Crawl space floor area (square metres)</t>
  </si>
  <si>
    <t>ThermostatCooling</t>
  </si>
  <si>
    <t>Cooling temperature in degrees C based on standard operating conditions</t>
  </si>
  <si>
    <t>CCASHPCAP</t>
  </si>
  <si>
    <t>Contains the rated heating capacity of the cold climate ASHP at 8.3 °C (47 °F) in kW</t>
  </si>
  <si>
    <t>NUMDWELLINGUNITS</t>
  </si>
  <si>
    <t>Contains the number of residential units in a MURB</t>
  </si>
  <si>
    <t>NUMNONRESUNITS</t>
  </si>
  <si>
    <t>Contains the number of non-residential units in a MURB</t>
  </si>
  <si>
    <t>KWPV</t>
  </si>
  <si>
    <t>Contains the nominal capacity of the PV system (in kW) entered by the energy advisor</t>
  </si>
  <si>
    <t>NONRESHEATEDFLOORAREA</t>
  </si>
  <si>
    <t>Contains the heated floor area of non-residential units (square metres)</t>
  </si>
  <si>
    <t>COMMONHEATEDFLOORAREA</t>
  </si>
  <si>
    <t>Contains the heated floor area of all common areas (square metres)</t>
  </si>
  <si>
    <t>CCASHPCOP</t>
  </si>
  <si>
    <t>Contains the coefficient of performance of the cold climate ASHP at -15 °C (5 °F)</t>
  </si>
  <si>
    <t>UGRKWPV</t>
  </si>
  <si>
    <t>Contains the capacity of the proposed PV system (in kW DC)</t>
  </si>
  <si>
    <t>CCASHPCAPACITYMAINTENANCE</t>
  </si>
  <si>
    <t>Contains the capacity maintenance percentage of the cold climate ASHP (Max -15 °C (5 °F)/Rated 8.3 °C</t>
  </si>
  <si>
    <t>MURBSOCMULTIPLIER</t>
  </si>
  <si>
    <t>Contains number of units, used to determine the SOC values of the building (one unit = 1, whole building = UnitsMURB value)</t>
  </si>
  <si>
    <t xml:space="preserve">UNITSMURB </t>
  </si>
  <si>
    <t>Contains number of dwelling units + number of non-residential units in a Multi-Unit Residential Building (MURB)</t>
  </si>
  <si>
    <t>EGHFCONWOOD</t>
  </si>
  <si>
    <t>Consumption of wood (tonne)</t>
  </si>
  <si>
    <t>EGHFCONWOODGJ</t>
  </si>
  <si>
    <t>Consumption of wood (GJ/year)</t>
  </si>
  <si>
    <t>EGHFCONPROP</t>
  </si>
  <si>
    <t>Consumption of propane (L)</t>
  </si>
  <si>
    <t>EGHFCONOIL</t>
  </si>
  <si>
    <t>Consumption of oil (L)</t>
  </si>
  <si>
    <t>EGHFCONNGAS</t>
  </si>
  <si>
    <t>Consumption of natural gas (cubic metres)</t>
  </si>
  <si>
    <t>EGHFCONELEC</t>
  </si>
  <si>
    <t>Consumption of electricity (kWh)</t>
  </si>
  <si>
    <t>AIRCOP</t>
  </si>
  <si>
    <t>Coefficient of performance for A/C system</t>
  </si>
  <si>
    <t>WEATHERLOC</t>
  </si>
  <si>
    <t>Climate data location</t>
  </si>
  <si>
    <t>WTHDATA</t>
  </si>
  <si>
    <t>Climate data file</t>
  </si>
  <si>
    <t>CLIENTCITY</t>
  </si>
  <si>
    <t>City (where property is located)</t>
  </si>
  <si>
    <t>ACCENTESTAR</t>
  </si>
  <si>
    <t>Central A/C is ENERGY STAR certified (ESTAR or N/A)</t>
  </si>
  <si>
    <t>CEILINGTYPE</t>
  </si>
  <si>
    <t>Ceiling type (‘A’ for a gable/hip/scissor attic, or ‘F’ for a flat or cathedral attic)</t>
  </si>
  <si>
    <t>CEILINS</t>
  </si>
  <si>
    <t>Ceiling effective insulation RSI value</t>
  </si>
  <si>
    <t>TYPE1CAPACITY</t>
  </si>
  <si>
    <t>Capacity of the Type 1 (i.e. baseboards, boiler, combo and furnace) heating system (Watts)</t>
  </si>
  <si>
    <t>CSIA</t>
  </si>
  <si>
    <t>Canadian Solar Industry Association rating for solar domestic hot water system (MJ/year)</t>
  </si>
  <si>
    <t>QWARN</t>
  </si>
  <si>
    <t>Calculated total combined natural and mechanical ventilation value in L/s for which the insufficient ventilation warning appears in reports (16 L/s ≤ Qwarn ≤ 40L/s)</t>
  </si>
  <si>
    <t>BASEMENTFLOORAR</t>
  </si>
  <si>
    <t>Basement floor area (square metres)</t>
  </si>
  <si>
    <t>CREDITGARAGE</t>
  </si>
  <si>
    <t>Attached garage credit in kWh (only available for files prior to v11)</t>
  </si>
  <si>
    <t>ERSRENEWABLESOLAR</t>
  </si>
  <si>
    <t xml:space="preserve">Annual Solar Domestic Water Heating Energy Contribution in MJ </t>
  </si>
  <si>
    <t>ERSGHG</t>
  </si>
  <si>
    <t>Annual Green House Gas Emissions Total in tonnes/year</t>
  </si>
  <si>
    <t>EGHFURNACEAEC</t>
  </si>
  <si>
    <t>Annual energy consumption for the heating system (MJ)</t>
  </si>
  <si>
    <t>ERSSPACECOOLENERGY</t>
  </si>
  <si>
    <t>Annual Energy Consumption for Space Cooling in MJ (Base Case – Standard Operating Conditions)</t>
  </si>
  <si>
    <t>ERSPVAvailableEnergy</t>
  </si>
  <si>
    <t>Amount of Photovoltaic energy generated on site in kWh, uncapped</t>
  </si>
  <si>
    <t>AUXENERGY</t>
  </si>
  <si>
    <t>Amount of energy required for annual space heating, calculated as the gross space heating energy load less the usable internal and solar heat gains (MJ)</t>
  </si>
  <si>
    <t>HPESTAR</t>
  </si>
  <si>
    <t>Air source heat pump is ENERGY STAR (ESTAR or N/A)</t>
  </si>
  <si>
    <t>AIR50P</t>
  </si>
  <si>
    <t>Air leakage at 50 pascals</t>
  </si>
  <si>
    <t>INSCOPEOFNBC</t>
  </si>
  <si>
    <t>A true or false value indicating whether the proposed house is within the scope of the NBC Section 9.36</t>
  </si>
  <si>
    <t>PEAKCOOLINGVALIDATION</t>
  </si>
  <si>
    <t>A true or false value indicating whether the proposed house design cooling load is equal to or lower than the reference house design cooling load</t>
  </si>
  <si>
    <t>GUARDED</t>
  </si>
  <si>
    <t>A true or false value indicating whether the blower door test was guarded or unguarded</t>
  </si>
  <si>
    <t>Category</t>
  </si>
  <si>
    <t>DataType</t>
  </si>
  <si>
    <t>Column_Name</t>
  </si>
  <si>
    <t>Origninal_Column</t>
  </si>
  <si>
    <t>File_Type</t>
  </si>
  <si>
    <t>OldUnit</t>
  </si>
  <si>
    <t>NewUnit</t>
  </si>
  <si>
    <t>Description</t>
  </si>
  <si>
    <t>ID</t>
  </si>
  <si>
    <t>Base</t>
  </si>
  <si>
    <t>D</t>
  </si>
  <si>
    <t>Identifier</t>
  </si>
  <si>
    <t>Location</t>
  </si>
  <si>
    <t>FSA</t>
  </si>
  <si>
    <t>Location (FSA)</t>
  </si>
  <si>
    <t>PT</t>
  </si>
  <si>
    <t>Location (Province)</t>
  </si>
  <si>
    <t>Building Info</t>
  </si>
  <si>
    <t>YearBuilt</t>
  </si>
  <si>
    <t>FloorArea</t>
  </si>
  <si>
    <t>m2</t>
  </si>
  <si>
    <t>Building floor area</t>
  </si>
  <si>
    <t>Storeys</t>
  </si>
  <si>
    <t>Number of storeys</t>
  </si>
  <si>
    <t>BldgType</t>
  </si>
  <si>
    <t>Building type</t>
  </si>
  <si>
    <t>Dwellings</t>
  </si>
  <si>
    <t>BasementArea</t>
  </si>
  <si>
    <t>Basement floor area</t>
  </si>
  <si>
    <t>SlabArea</t>
  </si>
  <si>
    <t>CrawlArea</t>
  </si>
  <si>
    <t>FoundationType</t>
  </si>
  <si>
    <t>CeilingType</t>
  </si>
  <si>
    <t>Volume</t>
  </si>
  <si>
    <t>m3</t>
  </si>
  <si>
    <t>PonyWall</t>
  </si>
  <si>
    <t>Energy Info</t>
  </si>
  <si>
    <t>Pre</t>
  </si>
  <si>
    <t>Pre_TotalEnergy</t>
  </si>
  <si>
    <t>MJ</t>
  </si>
  <si>
    <t>kWh</t>
  </si>
  <si>
    <t>Pre_Electricity</t>
  </si>
  <si>
    <t>Pre_NaturalGas</t>
  </si>
  <si>
    <t>Pre_Oil</t>
  </si>
  <si>
    <t>L</t>
  </si>
  <si>
    <t>Pre_Porpane</t>
  </si>
  <si>
    <t>Pre_Wood</t>
  </si>
  <si>
    <t>tonne</t>
  </si>
  <si>
    <t>Pre_HeatEnergy</t>
  </si>
  <si>
    <t>Pre_HeatElectricity</t>
  </si>
  <si>
    <t>Pre_HeatNaturalGas</t>
  </si>
  <si>
    <t>Pre_HeatOil</t>
  </si>
  <si>
    <t>Pre_HeatPropane</t>
  </si>
  <si>
    <t>Pre_HeatWood</t>
  </si>
  <si>
    <t>Post</t>
  </si>
  <si>
    <t>Post_TotalEnergy</t>
  </si>
  <si>
    <t>E</t>
  </si>
  <si>
    <t>Post_Electricity</t>
  </si>
  <si>
    <t>Post_NaturalGas</t>
  </si>
  <si>
    <t>Post_Oil</t>
  </si>
  <si>
    <t>Post_Porpane</t>
  </si>
  <si>
    <t>Post_Wood</t>
  </si>
  <si>
    <t>Post_HeatEnergy</t>
  </si>
  <si>
    <t>Post_HeatElectricity</t>
  </si>
  <si>
    <t>Post_HeatNaturalGas</t>
  </si>
  <si>
    <t>Post_HeatOil</t>
  </si>
  <si>
    <t>Post_HeatPropane</t>
  </si>
  <si>
    <t>Post_HeatWood</t>
  </si>
  <si>
    <t>Modelled</t>
  </si>
  <si>
    <t>Mod_TotalEnergy</t>
  </si>
  <si>
    <t>Mod_Electricity</t>
  </si>
  <si>
    <t>Mod_NaturalGas</t>
  </si>
  <si>
    <t>Mod_Oil</t>
  </si>
  <si>
    <t>Mod_Porpane</t>
  </si>
  <si>
    <t>Mod_Wood</t>
  </si>
  <si>
    <t>Mod_HeatEnergy</t>
  </si>
  <si>
    <t>Mod_HeatElectricity</t>
  </si>
  <si>
    <t>Mod_HeatNaturalGas</t>
  </si>
  <si>
    <t>Mod_HeatOil</t>
  </si>
  <si>
    <t>Mod_HeatPropane</t>
  </si>
  <si>
    <t>Mod_HeatWood</t>
  </si>
  <si>
    <t>Envelope Info</t>
  </si>
  <si>
    <t>Pre_AirLeakage</t>
  </si>
  <si>
    <t>Pre_RoofInsulation</t>
  </si>
  <si>
    <t>RSI</t>
  </si>
  <si>
    <t>Pre_FoundationInsulation</t>
  </si>
  <si>
    <t>Pre_WallInsulation</t>
  </si>
  <si>
    <t>Pre_FloorInsulation</t>
  </si>
  <si>
    <t>Pre_SlabInsulation</t>
  </si>
  <si>
    <t>Pre_WindowCode</t>
  </si>
  <si>
    <t>Pre_WindowER34_39</t>
  </si>
  <si>
    <t>ER</t>
  </si>
  <si>
    <t>Pre_WindowER40</t>
  </si>
  <si>
    <t>Pre_Windows</t>
  </si>
  <si>
    <t>Pre_WindowsEStar</t>
  </si>
  <si>
    <t>Pre_WindowsU105</t>
  </si>
  <si>
    <t>U</t>
  </si>
  <si>
    <t>Pre_WindowsU122</t>
  </si>
  <si>
    <t>Pre_Doors</t>
  </si>
  <si>
    <t>Pre_DoorsEStar</t>
  </si>
  <si>
    <t>Post_AirLeakage</t>
  </si>
  <si>
    <t>Post_RoofInsulation</t>
  </si>
  <si>
    <t>Post_FoundationInsulation</t>
  </si>
  <si>
    <t>Post_WallInsulation</t>
  </si>
  <si>
    <t>Post_FloorInsulation</t>
  </si>
  <si>
    <t>Post_SlabInsulation</t>
  </si>
  <si>
    <t>Post_WindowCode</t>
  </si>
  <si>
    <t>Post_WindowER34_39</t>
  </si>
  <si>
    <t>Post_WindowER40</t>
  </si>
  <si>
    <t>Post_Windows</t>
  </si>
  <si>
    <t>Post_WindowsEStar</t>
  </si>
  <si>
    <t>Post_WindowsU105</t>
  </si>
  <si>
    <t>Post_WindowsU122</t>
  </si>
  <si>
    <t>Post_Doors</t>
  </si>
  <si>
    <t>Post_DoorsEStar</t>
  </si>
  <si>
    <t>Mod_AirLeakage</t>
  </si>
  <si>
    <t>Mod_RoofInsulation</t>
  </si>
  <si>
    <t>Mod_FoundationInsulation</t>
  </si>
  <si>
    <t>Mod_WallInsulation</t>
  </si>
  <si>
    <t>Mod_FloorInsulation</t>
  </si>
  <si>
    <t>Mod_WindowCode</t>
  </si>
  <si>
    <t>Mod_WindowER34_39</t>
  </si>
  <si>
    <t>Mod_WindowER40</t>
  </si>
  <si>
    <t>Mod_WindowsEStar</t>
  </si>
  <si>
    <t>Mod_WindowsU105</t>
  </si>
  <si>
    <t>Mod_WindowsU122</t>
  </si>
  <si>
    <t>Mod_DoorsEStar</t>
  </si>
  <si>
    <t>Priority Info</t>
  </si>
  <si>
    <t>AirTightPriority</t>
  </si>
  <si>
    <t>CathCeilingPriority</t>
  </si>
  <si>
    <t>CeilingPriority</t>
  </si>
  <si>
    <t>CoolingPriority</t>
  </si>
  <si>
    <t>DoorPriority</t>
  </si>
  <si>
    <t>FloorInsPriority</t>
  </si>
  <si>
    <t>FoundationPriority</t>
  </si>
  <si>
    <t>HeatingPriority</t>
  </si>
  <si>
    <t>DHWPriority</t>
  </si>
  <si>
    <t>WallInsPriority</t>
  </si>
  <si>
    <t>VentilationPriority</t>
  </si>
  <si>
    <t>WindowPriority</t>
  </si>
  <si>
    <t>Loss Info</t>
  </si>
  <si>
    <t>Pre_HeatLoss</t>
  </si>
  <si>
    <t>W</t>
  </si>
  <si>
    <t>kW</t>
  </si>
  <si>
    <t>Pre_HeatLossAir</t>
  </si>
  <si>
    <t>Pre_HeatLossCeiling</t>
  </si>
  <si>
    <t>Pre_HeatLossFloor</t>
  </si>
  <si>
    <t>Pre_HeatLossFoundation</t>
  </si>
  <si>
    <t>Pre_HeatLossWalls</t>
  </si>
  <si>
    <t>Pre_HeatLossWindowsDoors</t>
  </si>
  <si>
    <t>Pre_HeatLossDoors</t>
  </si>
  <si>
    <t>GJ</t>
  </si>
  <si>
    <t>Pre_HeatLossWindows</t>
  </si>
  <si>
    <t>Post_HeatLoss</t>
  </si>
  <si>
    <t>Post_HeatLossAir</t>
  </si>
  <si>
    <t>Post_HeatLossCeiling</t>
  </si>
  <si>
    <t>Post_HeatLossFloor</t>
  </si>
  <si>
    <t>Post_HeatLossFoundation</t>
  </si>
  <si>
    <t>Post_HeatLossWalls</t>
  </si>
  <si>
    <t>Post_HeatLossWindowsDoors</t>
  </si>
  <si>
    <t>Post_HeatLossDoors</t>
  </si>
  <si>
    <t>Post_HeatLossWindows</t>
  </si>
  <si>
    <t>Mod_HeatLoss</t>
  </si>
  <si>
    <t>Mod_HeatLossAir</t>
  </si>
  <si>
    <t>Mod_HeatLossCeiling</t>
  </si>
  <si>
    <t>Mod_HeatLossFloor</t>
  </si>
  <si>
    <t>Mod_HeatLossFoundation</t>
  </si>
  <si>
    <t>Mod_HeatLossWalls</t>
  </si>
  <si>
    <t>Mod_HeatLossWindowsDoors</t>
  </si>
  <si>
    <t>Mod_HeatLossDoors</t>
  </si>
  <si>
    <t>Mod_HeatLossWindows</t>
  </si>
  <si>
    <t>Pre_CoolLoss</t>
  </si>
  <si>
    <t>Post_CoolLoss</t>
  </si>
  <si>
    <t>HVAC Info</t>
  </si>
  <si>
    <t>Pre_ACWindowEStar</t>
  </si>
  <si>
    <t>Pre_ACWindow</t>
  </si>
  <si>
    <t>Pre_ACType</t>
  </si>
  <si>
    <t>Pre_ACCOP</t>
  </si>
  <si>
    <t>Pre_CCHP</t>
  </si>
  <si>
    <t>Pre_HeatSeasonalCOP</t>
  </si>
  <si>
    <t>Pre_HeatFuel</t>
  </si>
  <si>
    <t>Pre_HeatType</t>
  </si>
  <si>
    <t>Pre_HeatAFUE</t>
  </si>
  <si>
    <t>Pre_HPCOP</t>
  </si>
  <si>
    <t>Pre_HPType</t>
  </si>
  <si>
    <t>Post_ACWindowEStar</t>
  </si>
  <si>
    <t>Post_ACWindow</t>
  </si>
  <si>
    <t>Post_ACType</t>
  </si>
  <si>
    <t>Post_ACCOP</t>
  </si>
  <si>
    <t>Post_CCHP</t>
  </si>
  <si>
    <t>Post_HeatSeasonalCOP</t>
  </si>
  <si>
    <t>Post_HeatFuel</t>
  </si>
  <si>
    <t>Post_HeatType</t>
  </si>
  <si>
    <t>Post_HeatAFUE</t>
  </si>
  <si>
    <t>Post_HPCOP</t>
  </si>
  <si>
    <t>Post_HPType</t>
  </si>
  <si>
    <t>Mod_ACWindowEStar</t>
  </si>
  <si>
    <t>Mod_ACWindow</t>
  </si>
  <si>
    <t>Mod_ACType</t>
  </si>
  <si>
    <t>Mod_ACCOP</t>
  </si>
  <si>
    <t>Mod_CCHP</t>
  </si>
  <si>
    <t>Mod_HeatSeasonalCOP</t>
  </si>
  <si>
    <t>Mod_HeatFuel</t>
  </si>
  <si>
    <t>Mod_HeatType</t>
  </si>
  <si>
    <t>Mod_HeatAFUE</t>
  </si>
  <si>
    <t>Mod_HPCOP</t>
  </si>
  <si>
    <t>Mod_HPType</t>
  </si>
  <si>
    <t>Pre_DHWCOP</t>
  </si>
  <si>
    <t>Pre_DHWFuel</t>
  </si>
  <si>
    <t>Pre_DHWType</t>
  </si>
  <si>
    <t>Pre_DHWUEF</t>
  </si>
  <si>
    <t>Pre_SupHeat1Fuel</t>
  </si>
  <si>
    <t>Pre_SupHeat2Fuel</t>
  </si>
  <si>
    <t>Pre_SupHeat1Type</t>
  </si>
  <si>
    <t>Pre_SupHeat2Type</t>
  </si>
  <si>
    <t>Post_DHWCOP</t>
  </si>
  <si>
    <t>Post_DHWFuel</t>
  </si>
  <si>
    <t>Post_DHWType</t>
  </si>
  <si>
    <t>Post_DHWUEF</t>
  </si>
  <si>
    <t>Post_SupHeat1Fuel</t>
  </si>
  <si>
    <t>Post_SupHeat2Fuel</t>
  </si>
  <si>
    <t>Post_SupHeat1Type</t>
  </si>
  <si>
    <t>Post_SupHeat2Type</t>
  </si>
  <si>
    <t>Mod_DHWCOP</t>
  </si>
  <si>
    <t>Mod_DHWFuel</t>
  </si>
  <si>
    <t>Mod_DHWType</t>
  </si>
  <si>
    <t>Mod_DHWUEF</t>
  </si>
  <si>
    <t>Mod_SupHeat1Fuel</t>
  </si>
  <si>
    <t>Mod_SupHeat2Fuel</t>
  </si>
  <si>
    <t>Mod_SupHeat1Type</t>
  </si>
  <si>
    <t>Mod_SupHeat2Type</t>
  </si>
  <si>
    <t>Pre_AHRI</t>
  </si>
  <si>
    <t>Pre_CCASHPCAP</t>
  </si>
  <si>
    <t>Pre_CCASHPCAPACITYMAINTENANCE</t>
  </si>
  <si>
    <t>Pre_CCASHPCOP</t>
  </si>
  <si>
    <t>Pre_FURNACEMODEL</t>
  </si>
  <si>
    <t>Pre_HPCAP</t>
  </si>
  <si>
    <t>Pre_NUMBEROFHEADS</t>
  </si>
  <si>
    <t>Post_AHRI</t>
  </si>
  <si>
    <t>Post_CCASHPCAP</t>
  </si>
  <si>
    <t>Post_CCASHPCAPACITYMAINTENANCE</t>
  </si>
  <si>
    <t>Post_CCASHPCOP</t>
  </si>
  <si>
    <t>Post_FURNACEMODEL</t>
  </si>
  <si>
    <t>Post_HPCAP</t>
  </si>
  <si>
    <t>Post_NUMBEROFHEADS</t>
  </si>
  <si>
    <t>Pre_HeatCapacity</t>
  </si>
  <si>
    <t>Post_HeatCapacity</t>
  </si>
  <si>
    <t>Controls Info</t>
  </si>
  <si>
    <t>Pre_ElecThermostats</t>
  </si>
  <si>
    <t>Pre_ProgramThermostats</t>
  </si>
  <si>
    <t>Pre_VentilationType</t>
  </si>
  <si>
    <t>Post_ElecThermostats</t>
  </si>
  <si>
    <t>Post_ProgramThermostats</t>
  </si>
  <si>
    <t>Post_VentilationType</t>
  </si>
  <si>
    <t>Mod_ElecThermostats</t>
  </si>
  <si>
    <t>Mod_ProgramThermostats</t>
  </si>
  <si>
    <t>Mod_VentilationType</t>
  </si>
  <si>
    <t>Renewable Info</t>
  </si>
  <si>
    <t>Pre_RenewableEnergy</t>
  </si>
  <si>
    <t>Post_RenewableEnergy</t>
  </si>
  <si>
    <t>Pre_BatteryStorage</t>
  </si>
  <si>
    <t>Post_BatteryStorage</t>
  </si>
  <si>
    <t>Mod_BatteryStorage</t>
  </si>
  <si>
    <t>Type</t>
  </si>
  <si>
    <t>Flag_Name</t>
  </si>
  <si>
    <t>Column(s)</t>
  </si>
  <si>
    <t>Method</t>
  </si>
  <si>
    <t>Comments</t>
  </si>
  <si>
    <t>Envelope</t>
  </si>
  <si>
    <t>Wall_Insulation_Upgrade</t>
  </si>
  <si>
    <t>E value &gt; 10% of D value</t>
  </si>
  <si>
    <t>Flags improvements in wall insulation</t>
  </si>
  <si>
    <t>Roof_Insulation_Upgrade</t>
  </si>
  <si>
    <t>Flags improvements in roof insulation</t>
  </si>
  <si>
    <t>Foundation_Insulation_Upgrade</t>
  </si>
  <si>
    <t>Flags improvements in foundation insulation</t>
  </si>
  <si>
    <t>Floor_Insulation_Upgrade</t>
  </si>
  <si>
    <t>Flags improvements in floor insulation</t>
  </si>
  <si>
    <t>Doors_Change</t>
  </si>
  <si>
    <r>
      <t>NUMDOORESTAR</t>
    </r>
    <r>
      <rPr>
        <sz val="10"/>
        <color theme="1"/>
        <rFont val="Aptos Narrow"/>
        <family val="2"/>
        <scheme val="minor"/>
      </rPr>
      <t xml:space="preserve">, </t>
    </r>
    <r>
      <rPr>
        <sz val="10"/>
        <color theme="1"/>
        <rFont val="Arial Unicode MS"/>
      </rPr>
      <t>NUMDOORS</t>
    </r>
  </si>
  <si>
    <t>Any change between E and D</t>
  </si>
  <si>
    <t>Flags changes in Doors</t>
  </si>
  <si>
    <t>Windows_Change</t>
  </si>
  <si>
    <t>WINDOWCODE, NUMER34TO39, NUMER40PLUS, NUMWINESTAR, NUMWINU105, NUMWINU122</t>
  </si>
  <si>
    <t>Flags changes in Windows</t>
  </si>
  <si>
    <t>Air_Tightness_Upgrade</t>
  </si>
  <si>
    <t>Flags improvements in air tightness</t>
  </si>
  <si>
    <t>HVAC</t>
  </si>
  <si>
    <t>Heating_Change</t>
  </si>
  <si>
    <t>FURNACEFUEL, FURNACETYPE</t>
  </si>
  <si>
    <t>Flags changes in heating equipment</t>
  </si>
  <si>
    <t>HeatPump_Addition</t>
  </si>
  <si>
    <t>D value = N/A, E value ≠ N/A</t>
  </si>
  <si>
    <t>Flags addition of a heat pump</t>
  </si>
  <si>
    <t>DHW_Change</t>
  </si>
  <si>
    <t>PDHWFUEL, PDHWTYPE</t>
  </si>
  <si>
    <t>Flags changes in domestic hot water equipment</t>
  </si>
  <si>
    <t>Ventilation_Change</t>
  </si>
  <si>
    <t>Flags changes in ventilation equipment</t>
  </si>
  <si>
    <t>Cooling_Change</t>
  </si>
  <si>
    <t>Flags changes in cooling equipment</t>
  </si>
  <si>
    <t>Controls</t>
  </si>
  <si>
    <t>Smart_Thermostats_Added</t>
  </si>
  <si>
    <t>D value = n, E value = y</t>
  </si>
  <si>
    <t>Flags addition of smart thermostat(s)</t>
  </si>
  <si>
    <t>Retrofit Level</t>
  </si>
  <si>
    <t>Shallow_Retrofit</t>
  </si>
  <si>
    <t>1 x D &gt; E &gt;= 0.9 x D</t>
  </si>
  <si>
    <t>Flags for shallow retrofits (less than 10% savings)</t>
  </si>
  <si>
    <t>Medium_Retrofit</t>
  </si>
  <si>
    <t>0.9 x D &gt; E &gt; 0.5 x D</t>
  </si>
  <si>
    <t>Flags for medium retrofits (10%-50% savings)</t>
  </si>
  <si>
    <t>Deep_Retrofit</t>
  </si>
  <si>
    <t>E &lt;= 0.5 D</t>
  </si>
  <si>
    <t>Flags for deep retrofits (more than 50% savings)</t>
  </si>
  <si>
    <t>Natural Gas</t>
  </si>
  <si>
    <t>1 m3</t>
  </si>
  <si>
    <t>1 GJ</t>
  </si>
  <si>
    <t>Total Energy</t>
  </si>
  <si>
    <t>1 MJ =</t>
  </si>
  <si>
    <t>Heating Oil</t>
  </si>
  <si>
    <t>1 L =</t>
  </si>
  <si>
    <t>1 m3 =</t>
  </si>
  <si>
    <t xml:space="preserve">1 GJ = </t>
  </si>
  <si>
    <t>Propane</t>
  </si>
  <si>
    <t>Wood</t>
  </si>
  <si>
    <t>1 tonne =</t>
  </si>
  <si>
    <t>kg</t>
  </si>
  <si>
    <t>1 kg =</t>
  </si>
  <si>
    <t>Window Code</t>
  </si>
  <si>
    <t>Galzing Type</t>
  </si>
  <si>
    <t>Coating/Tints</t>
  </si>
  <si>
    <t>Fill Type</t>
  </si>
  <si>
    <t>Space Type</t>
  </si>
  <si>
    <t>Window Type</t>
  </si>
  <si>
    <t>Frame Material</t>
  </si>
  <si>
    <t>Value</t>
  </si>
  <si>
    <t>Single (SG)</t>
  </si>
  <si>
    <t>Clear</t>
  </si>
  <si>
    <t>13 mm air</t>
  </si>
  <si>
    <t>Metal</t>
  </si>
  <si>
    <t>Picture</t>
  </si>
  <si>
    <t>Aluminum</t>
  </si>
  <si>
    <t>Double/double with 1 coat</t>
  </si>
  <si>
    <t>Low-E .04 (soft)</t>
  </si>
  <si>
    <t>9 mm air</t>
  </si>
  <si>
    <t>Fused Glass</t>
  </si>
  <si>
    <t>Hinged</t>
  </si>
  <si>
    <t>Aluminum Thermal Break</t>
  </si>
  <si>
    <t>Triple/triple with 1 coat</t>
  </si>
  <si>
    <t>Low-E .10 (soft)</t>
  </si>
  <si>
    <t>6 mm air</t>
  </si>
  <si>
    <t>Insulating</t>
  </si>
  <si>
    <t>Slider with sash</t>
  </si>
  <si>
    <t>TG with 2 coatings</t>
  </si>
  <si>
    <t>Low-E .20 (hard1)</t>
  </si>
  <si>
    <t>13 mm Argon</t>
  </si>
  <si>
    <t>Semi-sash slider</t>
  </si>
  <si>
    <t>Aluminum Clad Wood</t>
  </si>
  <si>
    <t>Double Acrylic</t>
  </si>
  <si>
    <t>Low-E .35 (hard2)</t>
  </si>
  <si>
    <t>9 mm Argon</t>
  </si>
  <si>
    <t>Patio door</t>
  </si>
  <si>
    <t>Vinyl</t>
  </si>
  <si>
    <t>DG + 1 Heat Mirror 66</t>
  </si>
  <si>
    <t>Tint</t>
  </si>
  <si>
    <t>6 mm Argon</t>
  </si>
  <si>
    <t>Skylight</t>
  </si>
  <si>
    <t>Reinforced Vinyl</t>
  </si>
  <si>
    <t>DG + 1 Heat Mirror 88</t>
  </si>
  <si>
    <t>Tint + Low-E .04</t>
  </si>
  <si>
    <t>9 mm Krypton</t>
  </si>
  <si>
    <t>DG + 12Heat Mirror 88</t>
  </si>
  <si>
    <t>Tint + Low-E .10</t>
  </si>
  <si>
    <t>Tint + Low-E .20</t>
  </si>
  <si>
    <t>Tint + Low-E .35</t>
  </si>
  <si>
    <t>A</t>
  </si>
  <si>
    <t>Reflective</t>
  </si>
  <si>
    <t>B</t>
  </si>
  <si>
    <t>Reflective + tint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</si>
</sst>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2">
    <font>
      <sz val="11"/>
      <color theme="1"/>
      <name val="Aptos Narrow"/>
      <family val="2"/>
      <scheme val="minor"/>
    </font>
    <font>
      <b/>
      <sz val="11"/>
      <color theme="1"/>
      <name val="Aptos Narrow"/>
      <family val="2"/>
      <scheme val="minor"/>
    </font>
    <font>
      <strike/>
      <sz val="11"/>
      <color theme="1"/>
      <name val="Aptos Narrow"/>
      <family val="2"/>
      <scheme val="minor"/>
    </font>
    <font>
      <b/>
      <sz val="12"/>
      <color theme="0"/>
      <name val="Aptos Narrow"/>
      <family val="2"/>
      <scheme val="minor"/>
    </font>
    <font>
      <sz val="11"/>
      <color rgb="FF000000"/>
      <name val="Aptos Narrow"/>
      <family val="2"/>
      <scheme val="minor"/>
    </font>
    <font>
      <sz val="12"/>
      <color theme="1"/>
      <name val="Aptos Narrow"/>
      <family val="2"/>
      <scheme val="minor"/>
    </font>
    <font>
      <strike/>
      <sz val="12"/>
      <color theme="1"/>
      <name val="Aptos Narrow"/>
      <family val="2"/>
      <scheme val="minor"/>
    </font>
    <font>
      <sz val="8"/>
      <name val="Aptos Narrow"/>
      <family val="2"/>
      <scheme val="minor"/>
    </font>
    <font>
      <b/>
      <sz val="10"/>
      <color theme="1"/>
      <name val="Aptos Narrow"/>
      <family val="2"/>
      <scheme val="minor"/>
    </font>
    <font>
      <sz val="10"/>
      <color theme="1"/>
      <name val="Aptos Narrow"/>
      <family val="2"/>
      <scheme val="minor"/>
    </font>
    <font>
      <b/>
      <sz val="11"/>
      <color theme="0"/>
      <name val="Aptos Narrow"/>
      <family val="2"/>
      <scheme val="minor"/>
    </font>
    <font>
      <sz val="10"/>
      <color theme="1"/>
      <name val="Arial Unicode MS"/>
    </font>
  </fonts>
  <fills count="13">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s>
  <borders count="7">
    <border>
      <left/>
      <right/>
      <top/>
      <bottom/>
      <diagonal/>
    </border>
    <border>
      <left/>
      <right/>
      <top style="thin">
        <color theme="4"/>
      </top>
      <bottom style="double">
        <color theme="4"/>
      </bottom>
      <diagonal/>
    </border>
    <border>
      <left/>
      <right style="thin">
        <color theme="6"/>
      </right>
      <top/>
      <bottom style="medium">
        <color theme="6"/>
      </bottom>
      <diagonal/>
    </border>
    <border>
      <left style="thin">
        <color theme="6"/>
      </left>
      <right style="thin">
        <color theme="6"/>
      </right>
      <top/>
      <bottom style="medium">
        <color theme="6"/>
      </bottom>
      <diagonal/>
    </border>
    <border>
      <left/>
      <right style="thin">
        <color theme="6"/>
      </right>
      <top style="thin">
        <color theme="6"/>
      </top>
      <bottom style="thin">
        <color theme="6"/>
      </bottom>
      <diagonal/>
    </border>
    <border>
      <left style="thin">
        <color theme="6"/>
      </left>
      <right style="thin">
        <color theme="6"/>
      </right>
      <top style="thin">
        <color theme="6"/>
      </top>
      <bottom style="thin">
        <color theme="6"/>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54">
    <xf numFmtId="0" fontId="0" fillId="0" borderId="0" xfId="0"/>
    <xf numFmtId="0" fontId="2"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0" xfId="0" applyFont="1" applyAlignment="1">
      <alignment vertical="center" wrapText="1"/>
    </xf>
    <xf numFmtId="0" fontId="0" fillId="3" borderId="0" xfId="0" applyFill="1" applyAlignment="1">
      <alignment wrapText="1"/>
    </xf>
    <xf numFmtId="0" fontId="5" fillId="0" borderId="0" xfId="0" applyFont="1" applyAlignment="1">
      <alignment horizontal="center" vertical="top" wrapText="1"/>
    </xf>
    <xf numFmtId="0" fontId="6" fillId="0" borderId="0" xfId="0" applyFont="1" applyAlignment="1">
      <alignment horizontal="center" vertical="top" wrapText="1"/>
    </xf>
    <xf numFmtId="0" fontId="5" fillId="0" borderId="0" xfId="0" applyFont="1" applyAlignment="1">
      <alignment horizontal="left" vertical="top" wrapText="1"/>
    </xf>
    <xf numFmtId="0" fontId="8" fillId="0" borderId="4" xfId="0" applyFont="1" applyBorder="1" applyAlignment="1">
      <alignment horizontal="center" vertical="center"/>
    </xf>
    <xf numFmtId="164" fontId="9" fillId="0" borderId="0" xfId="0" applyNumberFormat="1" applyFont="1" applyAlignment="1">
      <alignment horizontal="center" vertical="center"/>
    </xf>
    <xf numFmtId="3" fontId="9" fillId="0" borderId="0" xfId="0" applyNumberFormat="1" applyFont="1" applyAlignment="1">
      <alignment horizontal="center" vertical="center"/>
    </xf>
    <xf numFmtId="0" fontId="9" fillId="0" borderId="5" xfId="1" applyFont="1" applyFill="1" applyBorder="1" applyAlignment="1">
      <alignment horizontal="left" vertical="center" wrapText="1"/>
    </xf>
    <xf numFmtId="0" fontId="9" fillId="0" borderId="5" xfId="1" applyFont="1" applyFill="1" applyBorder="1" applyAlignment="1">
      <alignment horizontal="center" vertical="center"/>
    </xf>
    <xf numFmtId="0" fontId="9" fillId="0" borderId="5" xfId="1" applyFont="1" applyFill="1" applyBorder="1" applyAlignment="1">
      <alignment horizontal="center" vertical="center" wrapText="1"/>
    </xf>
    <xf numFmtId="0" fontId="9" fillId="0" borderId="4" xfId="1" applyFont="1" applyFill="1" applyBorder="1" applyAlignment="1">
      <alignment horizontal="center" vertical="center" wrapText="1"/>
    </xf>
    <xf numFmtId="0" fontId="10" fillId="4" borderId="6" xfId="0" applyFont="1" applyFill="1" applyBorder="1" applyAlignment="1">
      <alignment horizontal="center"/>
    </xf>
    <xf numFmtId="0" fontId="0" fillId="0" borderId="0" xfId="0" applyAlignment="1">
      <alignment horizontal="center"/>
    </xf>
    <xf numFmtId="0" fontId="11" fillId="6" borderId="6" xfId="0" applyFont="1" applyFill="1" applyBorder="1" applyAlignment="1">
      <alignment vertical="center"/>
    </xf>
    <xf numFmtId="0" fontId="0" fillId="6" borderId="6" xfId="0" applyFill="1" applyBorder="1"/>
    <xf numFmtId="0" fontId="0" fillId="5" borderId="6" xfId="0" applyFill="1" applyBorder="1"/>
    <xf numFmtId="0" fontId="0" fillId="7" borderId="6" xfId="0" applyFill="1" applyBorder="1"/>
    <xf numFmtId="0" fontId="0" fillId="8" borderId="6" xfId="0" applyFill="1" applyBorder="1"/>
    <xf numFmtId="0" fontId="9" fillId="6" borderId="6" xfId="0" applyFont="1" applyFill="1" applyBorder="1" applyAlignment="1">
      <alignment vertical="center"/>
    </xf>
    <xf numFmtId="0" fontId="9" fillId="6" borderId="6" xfId="0" applyFont="1" applyFill="1" applyBorder="1" applyAlignment="1">
      <alignment vertical="center" wrapText="1"/>
    </xf>
    <xf numFmtId="0" fontId="9" fillId="6" borderId="6" xfId="0" applyFont="1" applyFill="1" applyBorder="1"/>
    <xf numFmtId="0" fontId="9" fillId="5" borderId="6" xfId="0" applyFont="1" applyFill="1" applyBorder="1"/>
    <xf numFmtId="0" fontId="9" fillId="5" borderId="6" xfId="0" applyFont="1" applyFill="1" applyBorder="1" applyAlignment="1">
      <alignment vertical="center"/>
    </xf>
    <xf numFmtId="0" fontId="9" fillId="7" borderId="6" xfId="0" applyFont="1" applyFill="1" applyBorder="1"/>
    <xf numFmtId="0" fontId="9" fillId="8" borderId="6" xfId="0" applyFont="1" applyFill="1" applyBorder="1"/>
    <xf numFmtId="0" fontId="0" fillId="9" borderId="6" xfId="0" applyFill="1" applyBorder="1"/>
    <xf numFmtId="0" fontId="0" fillId="9" borderId="6" xfId="0" applyFill="1" applyBorder="1" applyAlignment="1">
      <alignment horizontal="center"/>
    </xf>
    <xf numFmtId="165" fontId="0" fillId="9" borderId="6" xfId="0" applyNumberFormat="1" applyFill="1" applyBorder="1" applyAlignment="1">
      <alignment horizontal="center"/>
    </xf>
    <xf numFmtId="0" fontId="0" fillId="6" borderId="6" xfId="0" applyFill="1" applyBorder="1" applyAlignment="1">
      <alignment horizontal="center"/>
    </xf>
    <xf numFmtId="165" fontId="0" fillId="6" borderId="6" xfId="0" applyNumberFormat="1" applyFill="1" applyBorder="1" applyAlignment="1">
      <alignment horizontal="center"/>
    </xf>
    <xf numFmtId="0" fontId="0" fillId="7" borderId="6" xfId="0" applyFill="1" applyBorder="1" applyAlignment="1">
      <alignment horizontal="center"/>
    </xf>
    <xf numFmtId="165" fontId="0" fillId="7" borderId="6" xfId="0" applyNumberFormat="1" applyFill="1" applyBorder="1" applyAlignment="1">
      <alignment horizontal="center"/>
    </xf>
    <xf numFmtId="0" fontId="0" fillId="8" borderId="6" xfId="0" applyFill="1" applyBorder="1" applyAlignment="1">
      <alignment horizontal="center"/>
    </xf>
    <xf numFmtId="165" fontId="0" fillId="8" borderId="6" xfId="0" applyNumberFormat="1" applyFill="1" applyBorder="1" applyAlignment="1">
      <alignment horizontal="center"/>
    </xf>
    <xf numFmtId="0" fontId="0" fillId="8" borderId="0" xfId="0" applyFill="1"/>
    <xf numFmtId="0" fontId="0" fillId="10" borderId="6" xfId="0" applyFill="1" applyBorder="1"/>
    <xf numFmtId="0" fontId="0" fillId="10" borderId="6" xfId="0" applyFill="1" applyBorder="1" applyAlignment="1">
      <alignment horizontal="center"/>
    </xf>
    <xf numFmtId="165" fontId="0" fillId="10" borderId="6" xfId="0" applyNumberFormat="1" applyFill="1" applyBorder="1" applyAlignment="1">
      <alignment horizontal="center"/>
    </xf>
    <xf numFmtId="0" fontId="0" fillId="5" borderId="6" xfId="0" applyFill="1" applyBorder="1" applyAlignment="1">
      <alignment horizontal="center"/>
    </xf>
    <xf numFmtId="165" fontId="0" fillId="5" borderId="6" xfId="0" applyNumberFormat="1" applyFill="1" applyBorder="1" applyAlignment="1">
      <alignment horizontal="center"/>
    </xf>
    <xf numFmtId="0" fontId="0" fillId="11" borderId="6" xfId="0" applyFill="1" applyBorder="1"/>
    <xf numFmtId="0" fontId="0" fillId="11" borderId="6" xfId="0" applyFill="1" applyBorder="1" applyAlignment="1">
      <alignment horizontal="center"/>
    </xf>
    <xf numFmtId="165" fontId="0" fillId="11" borderId="6" xfId="0" applyNumberFormat="1" applyFill="1" applyBorder="1" applyAlignment="1">
      <alignment horizontal="center"/>
    </xf>
    <xf numFmtId="0" fontId="0" fillId="12" borderId="6" xfId="0" applyFill="1" applyBorder="1"/>
    <xf numFmtId="0" fontId="0" fillId="12" borderId="6" xfId="0" applyFill="1" applyBorder="1" applyAlignment="1">
      <alignment horizontal="center"/>
    </xf>
    <xf numFmtId="165" fontId="0" fillId="12" borderId="6" xfId="0" applyNumberFormat="1" applyFill="1" applyBorder="1" applyAlignment="1">
      <alignment horizontal="center"/>
    </xf>
  </cellXfs>
  <cellStyles count="2">
    <cellStyle name="Normal" xfId="0" builtinId="0"/>
    <cellStyle name="Total" xfId="1" builtinId="25"/>
  </cellStyles>
  <dxfs count="19">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theme="1"/>
        <name val="Aptos Narrow"/>
        <family val="2"/>
        <scheme val="minor"/>
      </font>
      <numFmt numFmtId="0" formatCode="General"/>
      <alignment horizontal="center" vertical="center" textRotation="0" wrapText="0" indent="0" justifyLastLine="0" shrinkToFit="0" readingOrder="0"/>
      <border diagonalUp="0" diagonalDown="0">
        <left/>
        <right style="thin">
          <color theme="6"/>
        </right>
        <top style="thin">
          <color theme="6"/>
        </top>
        <bottom style="thin">
          <color theme="6"/>
        </bottom>
        <vertical/>
        <horizontal/>
      </border>
    </dxf>
    <dxf>
      <font>
        <b/>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right style="thin">
          <color theme="6"/>
        </right>
        <top style="thin">
          <color theme="6"/>
        </top>
        <bottom style="thin">
          <color theme="6"/>
        </bottom>
        <vertical/>
        <horizontal/>
      </border>
    </dxf>
    <dxf>
      <font>
        <b/>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theme="6"/>
        </right>
        <top style="thin">
          <color theme="6"/>
        </top>
        <bottom style="thin">
          <color theme="6"/>
        </bottom>
        <vertical/>
        <horizontal/>
      </border>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0"/>
        <color theme="1"/>
        <name val="Aptos Narrow"/>
        <family val="2"/>
        <scheme val="minor"/>
      </font>
      <numFmt numFmtId="3" formatCode="#,##0"/>
      <alignment horizontal="center" vertical="center" textRotation="0" wrapText="0" indent="0" justifyLastLine="0" shrinkToFit="0" readingOrder="0"/>
      <border diagonalUp="0" diagonalDown="0" outline="0">
        <left/>
        <right style="thin">
          <color theme="6"/>
        </right>
        <top style="thin">
          <color theme="6"/>
        </top>
        <bottom style="thin">
          <color theme="6"/>
        </bottom>
      </border>
    </dxf>
    <dxf>
      <font>
        <b/>
        <i val="0"/>
        <strike val="0"/>
        <condense val="0"/>
        <extend val="0"/>
        <outline val="0"/>
        <shadow val="0"/>
        <u val="none"/>
        <vertAlign val="baseline"/>
        <sz val="10"/>
        <color theme="1"/>
        <name val="Aptos Narrow"/>
        <family val="2"/>
        <scheme val="minor"/>
      </font>
      <numFmt numFmtId="3" formatCode="#,##0"/>
      <alignment horizontal="center" vertical="center" textRotation="0" wrapText="0" indent="0" justifyLastLine="0" shrinkToFit="0" readingOrder="0"/>
      <border diagonalUp="0" diagonalDown="0" outline="0">
        <left/>
        <right/>
        <top style="thin">
          <color theme="6"/>
        </top>
        <bottom style="thin">
          <color theme="6"/>
        </bottom>
      </border>
    </dxf>
    <dxf>
      <font>
        <b/>
        <i val="0"/>
        <strike val="0"/>
        <condense val="0"/>
        <extend val="0"/>
        <outline val="0"/>
        <shadow val="0"/>
        <u val="none"/>
        <vertAlign val="baseline"/>
        <sz val="10"/>
        <color theme="1"/>
        <name val="Aptos Narrow"/>
        <family val="2"/>
        <scheme val="minor"/>
      </font>
      <numFmt numFmtId="164" formatCode="0.0%"/>
      <alignment horizontal="center" vertical="center" textRotation="0" wrapText="0" indent="0" justifyLastLine="0" shrinkToFit="0" readingOrder="0"/>
      <border diagonalUp="0" diagonalDown="0" outline="0">
        <left/>
        <right/>
        <top style="thin">
          <color theme="6"/>
        </top>
        <bottom style="thin">
          <color theme="6"/>
        </bottom>
      </border>
    </dxf>
    <dxf>
      <font>
        <b/>
        <i val="0"/>
        <strike val="0"/>
        <condense val="0"/>
        <extend val="0"/>
        <outline val="0"/>
        <shadow val="0"/>
        <u val="none"/>
        <vertAlign val="baseline"/>
        <sz val="10"/>
        <color theme="1"/>
        <name val="Aptos Narrow"/>
        <family val="2"/>
        <scheme val="minor"/>
      </font>
      <numFmt numFmtId="164" formatCode="0.0%"/>
      <alignment horizontal="center" vertical="center" textRotation="0" wrapText="0" indent="0" justifyLastLine="0" shrinkToFit="0" readingOrder="0"/>
      <border diagonalUp="0" diagonalDown="0" outline="0">
        <left/>
        <right/>
        <top style="thin">
          <color theme="6"/>
        </top>
        <bottom style="thin">
          <color theme="6"/>
        </bottom>
      </border>
    </dxf>
    <dxf>
      <font>
        <b/>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center" vertical="center" textRotation="0" wrapText="0" indent="0" justifyLastLine="0" shrinkToFit="0" readingOrder="0"/>
      <border diagonalUp="0" diagonalDown="0">
        <left/>
        <right style="thin">
          <color theme="6"/>
        </right>
        <top style="thin">
          <color theme="6"/>
        </top>
        <bottom style="thin">
          <color theme="6"/>
        </bottom>
        <vertical/>
        <horizontal/>
      </border>
    </dxf>
    <dxf>
      <border outline="0">
        <top style="thin">
          <color theme="6"/>
        </top>
      </border>
    </dxf>
    <dxf>
      <border outline="0">
        <bottom style="medium">
          <color theme="6"/>
        </bottom>
      </border>
    </dxf>
    <dxf>
      <border outline="0">
        <left style="thin">
          <color theme="6"/>
        </left>
        <right style="thin">
          <color theme="6"/>
        </right>
        <top style="thin">
          <color theme="6"/>
        </top>
        <bottom style="thin">
          <color theme="6"/>
        </bottom>
      </border>
    </dxf>
    <dxf>
      <font>
        <outline val="0"/>
        <shadow val="0"/>
        <u val="none"/>
        <vertAlign val="baseline"/>
        <sz val="12"/>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815869-53DD-48B9-BEFF-D3B873E994E3}" name="Table83" displayName="Table83" ref="A2:O438" totalsRowShown="0" headerRowDxfId="18" headerRowBorderDxfId="16" tableBorderDxfId="17" totalsRowBorderDxfId="15">
  <autoFilter ref="A2:O438" xr:uid="{07815869-53DD-48B9-BEFF-D3B873E994E3}"/>
  <tableColumns count="15">
    <tableColumn id="1" xr3:uid="{F1A75885-973D-498F-BE7C-C604BA0B8FD6}" name="Column Name" dataDxfId="14"/>
    <tableColumn id="9" xr3:uid="{B0D7F6B7-9F98-4183-B520-0B24EE9C67DF}" name="D filled%" dataDxfId="13"/>
    <tableColumn id="10" xr3:uid="{A884E4C4-100D-4316-A87D-B04F5CF83F38}" name="E filled%" dataDxfId="12"/>
    <tableColumn id="11" xr3:uid="{26D58C20-62F3-4841-9214-6F26144329CA}" name="D filled" dataDxfId="11"/>
    <tableColumn id="12" xr3:uid="{A709B86E-68B9-4A0F-ACC4-EFA820363017}" name="E filled" dataDxfId="10"/>
    <tableColumn id="7" xr3:uid="{4F4FEA56-4EC9-4C79-A8DB-E36B728732C6}" name="Column Description (English)" dataDxfId="9" dataCellStyle="Total"/>
    <tableColumn id="13" xr3:uid="{3F036809-D133-4C64-A3CD-1A51C592978E}" name="Base Table" dataDxfId="8" dataCellStyle="Total"/>
    <tableColumn id="15" xr3:uid="{727CECD3-A892-48EA-8BDB-908A752566E5}" name="Retrofit Table" dataDxfId="7" dataCellStyle="Total"/>
    <tableColumn id="14" xr3:uid="{B561B651-B6FF-4EA3-9BC9-5DCA7CD1680C}" name="Energy Table" dataDxfId="6" dataCellStyle="Total"/>
    <tableColumn id="3" xr3:uid="{6F05B329-4D07-412E-A5E0-8752C00BB666}" name="Conversion" dataDxfId="5"/>
    <tableColumn id="8" xr3:uid="{89E392BF-A31F-4FB5-BAE4-46C8DFB2413E}" name="Filter" dataDxfId="4"/>
    <tableColumn id="16" xr3:uid="{5479787A-A54E-4AEE-94C0-8E8263FDB344}" name="Included?" dataDxfId="3">
      <calculatedColumnFormula>IF(COUNTIFS(Table83[[#This Row],[Base Table]:[Energy Table]],"y")&gt;0,"y")</calculatedColumnFormula>
    </tableColumn>
    <tableColumn id="4" xr3:uid="{38917538-0DE5-4035-A4A3-A3E826E46640}" name="Column Data Type" dataDxfId="2" dataCellStyle="Total"/>
    <tableColumn id="5" xr3:uid="{6839ABC9-4A40-49E3-9B4F-BF1D7BE8329E}" name="First available version" dataDxfId="1" dataCellStyle="Total"/>
    <tableColumn id="6" xr3:uid="{F85E1B09-0F56-4508-AE0A-5376429D4C43}" name="Upgrade Base case" dataDxfId="0" dataCellStyle="Total"/>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11A40-AB4C-4D9F-A0C7-3294A9A39992}">
  <sheetPr>
    <tabColor theme="4"/>
    <pageSetUpPr fitToPage="1"/>
  </sheetPr>
  <dimension ref="A1:AH439"/>
  <sheetViews>
    <sheetView zoomScaleNormal="100" workbookViewId="0">
      <pane xSplit="1" ySplit="2" topLeftCell="B3" activePane="bottomRight" state="frozen"/>
      <selection pane="bottomRight" activeCell="D288" sqref="D288"/>
      <selection pane="bottomLeft" activeCell="A3" sqref="A3"/>
      <selection pane="topRight" activeCell="B1" sqref="B1"/>
    </sheetView>
  </sheetViews>
  <sheetFormatPr defaultColWidth="8.85546875" defaultRowHeight="14.45"/>
  <cols>
    <col min="1" max="1" width="28.28515625" style="2" bestFit="1" customWidth="1"/>
    <col min="2" max="5" width="9.28515625" style="2" customWidth="1"/>
    <col min="6" max="6" width="70.7109375" style="3" customWidth="1"/>
    <col min="7" max="9" width="22" style="2" customWidth="1"/>
    <col min="10" max="10" width="8.85546875" hidden="1" customWidth="1"/>
    <col min="11" max="11" width="10.7109375" style="2" hidden="1" customWidth="1"/>
    <col min="12" max="12" width="10.7109375" style="2" customWidth="1"/>
    <col min="13" max="13" width="13.140625" style="2" customWidth="1"/>
    <col min="14" max="14" width="20.42578125" style="2" customWidth="1"/>
    <col min="15" max="15" width="27.28515625" style="1" customWidth="1"/>
    <col min="16" max="16" width="27.28515625" style="2" customWidth="1"/>
    <col min="17" max="16384" width="8.85546875" style="4"/>
  </cols>
  <sheetData>
    <row r="1" spans="1:34">
      <c r="G1" s="2">
        <f>COUNTIFS(Table83[Base Table],"y")</f>
        <v>75</v>
      </c>
      <c r="H1" s="2">
        <f>COUNTIFS(Table83[Retrofit Table],"y")</f>
        <v>108</v>
      </c>
      <c r="I1" s="2">
        <f>COUNTIFS(Table83[Energy Table],"y")</f>
        <v>33</v>
      </c>
      <c r="J1" s="2">
        <f>COUNTIFS(Table83[Conversion],"y")</f>
        <v>0</v>
      </c>
      <c r="K1" s="2">
        <f>COUNTIFS(Table83[Filter],"y")</f>
        <v>0</v>
      </c>
      <c r="L1" s="2">
        <f>COUNTIFS(Table83[Included?],"y")</f>
        <v>155</v>
      </c>
      <c r="N1" s="1"/>
      <c r="O1" s="2"/>
      <c r="P1" s="4"/>
    </row>
    <row r="2" spans="1:34" ht="18" customHeight="1" thickBot="1">
      <c r="A2" s="5" t="s">
        <v>0</v>
      </c>
      <c r="B2" s="5" t="s">
        <v>1</v>
      </c>
      <c r="C2" s="5" t="s">
        <v>2</v>
      </c>
      <c r="D2" s="5" t="s">
        <v>3</v>
      </c>
      <c r="E2" s="5" t="s">
        <v>4</v>
      </c>
      <c r="F2" s="6" t="s">
        <v>5</v>
      </c>
      <c r="G2" s="5" t="s">
        <v>6</v>
      </c>
      <c r="H2" s="5" t="s">
        <v>7</v>
      </c>
      <c r="I2" s="5" t="s">
        <v>8</v>
      </c>
      <c r="J2" s="5" t="s">
        <v>9</v>
      </c>
      <c r="K2" s="5" t="s">
        <v>10</v>
      </c>
      <c r="L2" s="5" t="s">
        <v>11</v>
      </c>
      <c r="M2" s="6" t="s">
        <v>12</v>
      </c>
      <c r="N2" s="6" t="s">
        <v>13</v>
      </c>
      <c r="O2" s="6" t="s">
        <v>14</v>
      </c>
      <c r="P2" s="4"/>
      <c r="AH2" s="7"/>
    </row>
    <row r="3" spans="1:34">
      <c r="A3" s="12" t="s">
        <v>15</v>
      </c>
      <c r="B3" s="13">
        <v>1</v>
      </c>
      <c r="C3" s="13">
        <v>1</v>
      </c>
      <c r="D3" s="14">
        <v>2283292</v>
      </c>
      <c r="E3" s="14">
        <v>1744350</v>
      </c>
      <c r="F3" s="15" t="s">
        <v>16</v>
      </c>
      <c r="G3" s="18" t="s">
        <v>17</v>
      </c>
      <c r="H3" s="18"/>
      <c r="I3" s="18"/>
      <c r="J3" s="12"/>
      <c r="K3" s="12"/>
      <c r="L3" s="12" t="str">
        <f>IF(COUNTIFS(Table83[[#This Row],[Base Table]:[Energy Table]],"y")&gt;0,"y")</f>
        <v>y</v>
      </c>
      <c r="M3" s="16" t="s">
        <v>18</v>
      </c>
      <c r="N3" s="17" t="s">
        <v>19</v>
      </c>
      <c r="O3" s="17" t="s">
        <v>20</v>
      </c>
      <c r="P3" s="4"/>
      <c r="AH3" s="7"/>
    </row>
    <row r="4" spans="1:34">
      <c r="A4" s="12" t="s">
        <v>21</v>
      </c>
      <c r="B4" s="13">
        <v>0</v>
      </c>
      <c r="C4" s="13">
        <v>0</v>
      </c>
      <c r="D4" s="14">
        <v>694</v>
      </c>
      <c r="E4" s="14">
        <v>766</v>
      </c>
      <c r="F4" s="15" t="s">
        <v>22</v>
      </c>
      <c r="G4" s="18"/>
      <c r="H4" s="18"/>
      <c r="I4" s="18"/>
      <c r="J4" s="12"/>
      <c r="K4" s="12"/>
      <c r="L4" s="12" t="b">
        <f>IF(COUNTIFS(Table83[[#This Row],[Base Table]:[Energy Table]],"y")&gt;0,"y")</f>
        <v>0</v>
      </c>
      <c r="M4" s="16" t="s">
        <v>23</v>
      </c>
      <c r="N4" s="17" t="s">
        <v>24</v>
      </c>
      <c r="O4" s="17" t="s">
        <v>20</v>
      </c>
      <c r="P4" s="4"/>
      <c r="AH4" s="7"/>
    </row>
    <row r="5" spans="1:34">
      <c r="A5" s="12" t="s">
        <v>25</v>
      </c>
      <c r="B5" s="13">
        <v>0.67900000000000005</v>
      </c>
      <c r="C5" s="13">
        <v>0.75600000000000001</v>
      </c>
      <c r="D5" s="14">
        <v>1549562</v>
      </c>
      <c r="E5" s="14">
        <v>1319163</v>
      </c>
      <c r="F5" s="15" t="s">
        <v>26</v>
      </c>
      <c r="G5" s="18"/>
      <c r="H5" s="18"/>
      <c r="I5" s="18"/>
      <c r="J5" s="12"/>
      <c r="K5" s="12"/>
      <c r="L5" s="12" t="b">
        <f>IF(COUNTIFS(Table83[[#This Row],[Base Table]:[Energy Table]],"y")&gt;0,"y")</f>
        <v>0</v>
      </c>
      <c r="M5" s="16" t="s">
        <v>23</v>
      </c>
      <c r="N5" s="17" t="s">
        <v>27</v>
      </c>
      <c r="O5" s="17" t="s">
        <v>20</v>
      </c>
      <c r="P5" s="4"/>
      <c r="AH5" s="7"/>
    </row>
    <row r="6" spans="1:34">
      <c r="A6" s="12" t="s">
        <v>28</v>
      </c>
      <c r="B6" s="13">
        <v>0.90800000000000003</v>
      </c>
      <c r="C6" s="13">
        <v>0.92600000000000005</v>
      </c>
      <c r="D6" s="14">
        <v>2072960</v>
      </c>
      <c r="E6" s="14">
        <v>1614747</v>
      </c>
      <c r="F6" s="15" t="s">
        <v>29</v>
      </c>
      <c r="G6" s="18" t="s">
        <v>17</v>
      </c>
      <c r="H6" s="18" t="s">
        <v>17</v>
      </c>
      <c r="I6" s="18"/>
      <c r="J6" s="12"/>
      <c r="K6" s="12"/>
      <c r="L6" s="12" t="str">
        <f>IF(COUNTIFS(Table83[[#This Row],[Base Table]:[Energy Table]],"y")&gt;0,"y")</f>
        <v>y</v>
      </c>
      <c r="M6" s="16" t="s">
        <v>23</v>
      </c>
      <c r="N6" s="17" t="s">
        <v>19</v>
      </c>
      <c r="O6" s="17" t="s">
        <v>20</v>
      </c>
      <c r="P6" s="4"/>
      <c r="AH6" s="7"/>
    </row>
    <row r="7" spans="1:34" ht="26.1">
      <c r="A7" s="12" t="s">
        <v>30</v>
      </c>
      <c r="B7" s="13">
        <v>0.88900000000000001</v>
      </c>
      <c r="C7" s="13">
        <v>0.91600000000000004</v>
      </c>
      <c r="D7" s="14">
        <v>2029454</v>
      </c>
      <c r="E7" s="14">
        <v>1597537</v>
      </c>
      <c r="F7" s="15" t="s">
        <v>31</v>
      </c>
      <c r="G7" s="18"/>
      <c r="H7" s="18" t="s">
        <v>17</v>
      </c>
      <c r="I7" s="18"/>
      <c r="J7" s="12"/>
      <c r="K7" s="12"/>
      <c r="L7" s="12" t="str">
        <f>IF(COUNTIFS(Table83[[#This Row],[Base Table]:[Energy Table]],"y")&gt;0,"y")</f>
        <v>y</v>
      </c>
      <c r="M7" s="16" t="s">
        <v>23</v>
      </c>
      <c r="N7" s="17" t="s">
        <v>19</v>
      </c>
      <c r="O7" s="17" t="s">
        <v>32</v>
      </c>
      <c r="P7" s="4"/>
      <c r="AH7" s="7"/>
    </row>
    <row r="8" spans="1:34">
      <c r="A8" s="12" t="s">
        <v>33</v>
      </c>
      <c r="B8" s="13">
        <v>1</v>
      </c>
      <c r="C8" s="13">
        <v>1</v>
      </c>
      <c r="D8" s="14">
        <v>2283292</v>
      </c>
      <c r="E8" s="14">
        <v>1744350</v>
      </c>
      <c r="F8" s="15" t="s">
        <v>34</v>
      </c>
      <c r="G8" s="18"/>
      <c r="H8" s="18"/>
      <c r="I8" s="18"/>
      <c r="J8" s="12"/>
      <c r="K8" s="12"/>
      <c r="L8" s="12" t="b">
        <f>IF(COUNTIFS(Table83[[#This Row],[Base Table]:[Energy Table]],"y")&gt;0,"y")</f>
        <v>0</v>
      </c>
      <c r="M8" s="16" t="s">
        <v>35</v>
      </c>
      <c r="N8" s="17" t="s">
        <v>19</v>
      </c>
      <c r="O8" s="17" t="s">
        <v>20</v>
      </c>
      <c r="P8" s="4"/>
      <c r="AH8" s="7"/>
    </row>
    <row r="9" spans="1:34">
      <c r="A9" s="12" t="s">
        <v>36</v>
      </c>
      <c r="B9" s="13">
        <v>1</v>
      </c>
      <c r="C9" s="13">
        <v>1</v>
      </c>
      <c r="D9" s="14">
        <v>2283292</v>
      </c>
      <c r="E9" s="14">
        <v>1744350</v>
      </c>
      <c r="F9" s="15" t="s">
        <v>37</v>
      </c>
      <c r="G9" s="18"/>
      <c r="H9" s="18"/>
      <c r="I9" s="18"/>
      <c r="J9" s="12"/>
      <c r="K9" s="12"/>
      <c r="L9" s="12" t="b">
        <f>IF(COUNTIFS(Table83[[#This Row],[Base Table]:[Energy Table]],"y")&gt;0,"y")</f>
        <v>0</v>
      </c>
      <c r="M9" s="16" t="s">
        <v>35</v>
      </c>
      <c r="N9" s="17" t="s">
        <v>19</v>
      </c>
      <c r="O9" s="17" t="s">
        <v>20</v>
      </c>
      <c r="P9" s="4"/>
      <c r="AH9" s="7"/>
    </row>
    <row r="10" spans="1:34">
      <c r="A10" s="12" t="s">
        <v>38</v>
      </c>
      <c r="B10" s="13">
        <v>1</v>
      </c>
      <c r="C10" s="13">
        <v>1</v>
      </c>
      <c r="D10" s="14">
        <v>2283292</v>
      </c>
      <c r="E10" s="14">
        <v>1744350</v>
      </c>
      <c r="F10" s="15" t="s">
        <v>39</v>
      </c>
      <c r="G10" s="18" t="s">
        <v>17</v>
      </c>
      <c r="H10" s="18" t="s">
        <v>17</v>
      </c>
      <c r="I10" s="18"/>
      <c r="J10" s="12"/>
      <c r="K10" s="12"/>
      <c r="L10" s="12" t="str">
        <f>IF(COUNTIFS(Table83[[#This Row],[Base Table]:[Energy Table]],"y")&gt;0,"y")</f>
        <v>y</v>
      </c>
      <c r="M10" s="16" t="s">
        <v>40</v>
      </c>
      <c r="N10" s="17" t="s">
        <v>19</v>
      </c>
      <c r="O10" s="17" t="s">
        <v>20</v>
      </c>
      <c r="P10" s="4"/>
      <c r="AH10" s="7"/>
    </row>
    <row r="11" spans="1:34">
      <c r="A11" s="12" t="s">
        <v>41</v>
      </c>
      <c r="B11" s="13">
        <v>1</v>
      </c>
      <c r="C11" s="13">
        <v>1</v>
      </c>
      <c r="D11" s="14">
        <v>2283292</v>
      </c>
      <c r="E11" s="14">
        <v>1744350</v>
      </c>
      <c r="F11" s="15" t="s">
        <v>42</v>
      </c>
      <c r="G11" s="18"/>
      <c r="H11" s="18"/>
      <c r="I11" s="18"/>
      <c r="J11" s="12"/>
      <c r="K11" s="12"/>
      <c r="L11" s="12" t="b">
        <f>IF(COUNTIFS(Table83[[#This Row],[Base Table]:[Energy Table]],"y")&gt;0,"y")</f>
        <v>0</v>
      </c>
      <c r="M11" s="16" t="s">
        <v>35</v>
      </c>
      <c r="N11" s="17" t="s">
        <v>19</v>
      </c>
      <c r="O11" s="17" t="s">
        <v>20</v>
      </c>
      <c r="P11" s="4"/>
      <c r="AH11" s="7"/>
    </row>
    <row r="12" spans="1:34" ht="117">
      <c r="A12" s="12" t="s">
        <v>43</v>
      </c>
      <c r="B12" s="13">
        <v>0.999</v>
      </c>
      <c r="C12" s="13">
        <v>1</v>
      </c>
      <c r="D12" s="14">
        <v>2281443</v>
      </c>
      <c r="E12" s="14">
        <v>1743650</v>
      </c>
      <c r="F12" s="15" t="s">
        <v>44</v>
      </c>
      <c r="G12" s="18"/>
      <c r="H12" s="18"/>
      <c r="I12" s="18"/>
      <c r="J12" s="12"/>
      <c r="K12" s="12"/>
      <c r="L12" s="12" t="b">
        <f>IF(COUNTIFS(Table83[[#This Row],[Base Table]:[Energy Table]],"y")&gt;0,"y")</f>
        <v>0</v>
      </c>
      <c r="M12" s="16" t="s">
        <v>45</v>
      </c>
      <c r="N12" s="17" t="s">
        <v>19</v>
      </c>
      <c r="O12" s="17" t="s">
        <v>20</v>
      </c>
      <c r="P12" s="4"/>
      <c r="AH12" s="7"/>
    </row>
    <row r="13" spans="1:34">
      <c r="A13" s="12" t="s">
        <v>46</v>
      </c>
      <c r="B13" s="13">
        <v>0.48199999999999998</v>
      </c>
      <c r="C13" s="13">
        <v>0.45600000000000002</v>
      </c>
      <c r="D13" s="14">
        <v>1101118</v>
      </c>
      <c r="E13" s="14">
        <v>794812</v>
      </c>
      <c r="F13" s="15" t="s">
        <v>47</v>
      </c>
      <c r="G13" s="18"/>
      <c r="H13" s="18"/>
      <c r="I13" s="18"/>
      <c r="J13" s="12"/>
      <c r="K13" s="12"/>
      <c r="L13" s="12" t="b">
        <f>IF(COUNTIFS(Table83[[#This Row],[Base Table]:[Energy Table]],"y")&gt;0,"y")</f>
        <v>0</v>
      </c>
      <c r="M13" s="16" t="s">
        <v>48</v>
      </c>
      <c r="N13" s="17" t="s">
        <v>49</v>
      </c>
      <c r="O13" s="17" t="s">
        <v>20</v>
      </c>
      <c r="P13" s="4"/>
      <c r="AH13" s="7"/>
    </row>
    <row r="14" spans="1:34" ht="26.1">
      <c r="A14" s="12" t="s">
        <v>50</v>
      </c>
      <c r="B14" s="13">
        <v>0.255</v>
      </c>
      <c r="C14" s="13">
        <v>0.215</v>
      </c>
      <c r="D14" s="14">
        <v>583296</v>
      </c>
      <c r="E14" s="14">
        <v>375464</v>
      </c>
      <c r="F14" s="15" t="s">
        <v>51</v>
      </c>
      <c r="G14" s="18"/>
      <c r="H14" s="18"/>
      <c r="I14" s="18"/>
      <c r="J14" s="12"/>
      <c r="K14" s="12"/>
      <c r="L14" s="12" t="b">
        <f>IF(COUNTIFS(Table83[[#This Row],[Base Table]:[Energy Table]],"y")&gt;0,"y")</f>
        <v>0</v>
      </c>
      <c r="M14" s="16" t="s">
        <v>52</v>
      </c>
      <c r="N14" s="17" t="s">
        <v>53</v>
      </c>
      <c r="O14" s="17" t="s">
        <v>20</v>
      </c>
      <c r="P14" s="4"/>
      <c r="AH14" s="7"/>
    </row>
    <row r="15" spans="1:34">
      <c r="A15" s="12" t="s">
        <v>54</v>
      </c>
      <c r="B15" s="13">
        <v>0.378</v>
      </c>
      <c r="C15" s="13">
        <v>0.35</v>
      </c>
      <c r="D15" s="14">
        <v>862367</v>
      </c>
      <c r="E15" s="14">
        <v>610011</v>
      </c>
      <c r="F15" s="15" t="s">
        <v>55</v>
      </c>
      <c r="G15" s="18"/>
      <c r="H15" s="18"/>
      <c r="I15" s="18"/>
      <c r="J15" s="12"/>
      <c r="K15" s="12"/>
      <c r="L15" s="12" t="b">
        <f>IF(COUNTIFS(Table83[[#This Row],[Base Table]:[Energy Table]],"y")&gt;0,"y")</f>
        <v>0</v>
      </c>
      <c r="M15" s="16" t="s">
        <v>56</v>
      </c>
      <c r="N15" s="17" t="s">
        <v>53</v>
      </c>
      <c r="O15" s="17" t="s">
        <v>20</v>
      </c>
      <c r="P15" s="4"/>
      <c r="AH15" s="7"/>
    </row>
    <row r="16" spans="1:34">
      <c r="A16" s="12" t="s">
        <v>57</v>
      </c>
      <c r="B16" s="13">
        <v>0.378</v>
      </c>
      <c r="C16" s="13">
        <v>0.35099999999999998</v>
      </c>
      <c r="D16" s="14">
        <v>863493</v>
      </c>
      <c r="E16" s="14">
        <v>611695</v>
      </c>
      <c r="F16" s="15" t="s">
        <v>58</v>
      </c>
      <c r="G16" s="18"/>
      <c r="H16" s="18"/>
      <c r="I16" s="18"/>
      <c r="J16" s="12"/>
      <c r="K16" s="12"/>
      <c r="L16" s="12" t="b">
        <f>IF(COUNTIFS(Table83[[#This Row],[Base Table]:[Energy Table]],"y")&gt;0,"y")</f>
        <v>0</v>
      </c>
      <c r="M16" s="16" t="s">
        <v>59</v>
      </c>
      <c r="N16" s="17" t="s">
        <v>53</v>
      </c>
      <c r="O16" s="17" t="s">
        <v>20</v>
      </c>
      <c r="P16" s="4"/>
      <c r="AH16" s="7"/>
    </row>
    <row r="17" spans="1:34">
      <c r="A17" s="12" t="s">
        <v>60</v>
      </c>
      <c r="B17" s="13">
        <v>0.378</v>
      </c>
      <c r="C17" s="13">
        <v>0.35099999999999998</v>
      </c>
      <c r="D17" s="14">
        <v>863589</v>
      </c>
      <c r="E17" s="14">
        <v>611706</v>
      </c>
      <c r="F17" s="15" t="s">
        <v>61</v>
      </c>
      <c r="G17" s="18" t="s">
        <v>17</v>
      </c>
      <c r="H17" s="18" t="s">
        <v>17</v>
      </c>
      <c r="I17" s="18"/>
      <c r="J17" s="12"/>
      <c r="K17" s="12"/>
      <c r="L17" s="12" t="str">
        <f>IF(COUNTIFS(Table83[[#This Row],[Base Table]:[Energy Table]],"y")&gt;0,"y")</f>
        <v>y</v>
      </c>
      <c r="M17" s="16" t="s">
        <v>18</v>
      </c>
      <c r="N17" s="17" t="s">
        <v>62</v>
      </c>
      <c r="O17" s="17" t="s">
        <v>20</v>
      </c>
      <c r="P17" s="4"/>
      <c r="AH17" s="7"/>
    </row>
    <row r="18" spans="1:34">
      <c r="A18" s="12" t="s">
        <v>63</v>
      </c>
      <c r="B18" s="13">
        <v>1</v>
      </c>
      <c r="C18" s="13">
        <v>1</v>
      </c>
      <c r="D18" s="14">
        <v>2283292</v>
      </c>
      <c r="E18" s="14">
        <v>1744350</v>
      </c>
      <c r="F18" s="15" t="s">
        <v>64</v>
      </c>
      <c r="G18" s="18"/>
      <c r="H18" s="18"/>
      <c r="I18" s="18" t="s">
        <v>17</v>
      </c>
      <c r="J18" s="12"/>
      <c r="K18" s="12"/>
      <c r="L18" s="12" t="str">
        <f>IF(COUNTIFS(Table83[[#This Row],[Base Table]:[Energy Table]],"y")&gt;0,"y")</f>
        <v>y</v>
      </c>
      <c r="M18" s="16" t="s">
        <v>35</v>
      </c>
      <c r="N18" s="17" t="s">
        <v>19</v>
      </c>
      <c r="O18" s="17" t="s">
        <v>32</v>
      </c>
      <c r="P18" s="4"/>
      <c r="AH18" s="7"/>
    </row>
    <row r="19" spans="1:34">
      <c r="A19" s="12" t="s">
        <v>65</v>
      </c>
      <c r="B19" s="13">
        <v>1</v>
      </c>
      <c r="C19" s="13">
        <v>1</v>
      </c>
      <c r="D19" s="14">
        <v>2283292</v>
      </c>
      <c r="E19" s="14">
        <v>1744350</v>
      </c>
      <c r="F19" s="15" t="s">
        <v>66</v>
      </c>
      <c r="G19" s="18"/>
      <c r="H19" s="18"/>
      <c r="I19" s="18" t="s">
        <v>17</v>
      </c>
      <c r="J19" s="12"/>
      <c r="K19" s="12"/>
      <c r="L19" s="12" t="str">
        <f>IF(COUNTIFS(Table83[[#This Row],[Base Table]:[Energy Table]],"y")&gt;0,"y")</f>
        <v>y</v>
      </c>
      <c r="M19" s="16" t="s">
        <v>35</v>
      </c>
      <c r="N19" s="17" t="s">
        <v>19</v>
      </c>
      <c r="O19" s="17" t="s">
        <v>32</v>
      </c>
      <c r="P19" s="4"/>
      <c r="AH19" s="7"/>
    </row>
    <row r="20" spans="1:34">
      <c r="A20" s="12" t="s">
        <v>67</v>
      </c>
      <c r="B20" s="13">
        <v>1</v>
      </c>
      <c r="C20" s="13">
        <v>1</v>
      </c>
      <c r="D20" s="14">
        <v>2283292</v>
      </c>
      <c r="E20" s="14">
        <v>1744350</v>
      </c>
      <c r="F20" s="15" t="s">
        <v>68</v>
      </c>
      <c r="G20" s="18"/>
      <c r="H20" s="18"/>
      <c r="I20" s="18" t="s">
        <v>17</v>
      </c>
      <c r="J20" s="12"/>
      <c r="K20" s="12"/>
      <c r="L20" s="12" t="str">
        <f>IF(COUNTIFS(Table83[[#This Row],[Base Table]:[Energy Table]],"y")&gt;0,"y")</f>
        <v>y</v>
      </c>
      <c r="M20" s="16" t="s">
        <v>35</v>
      </c>
      <c r="N20" s="17" t="s">
        <v>19</v>
      </c>
      <c r="O20" s="17" t="s">
        <v>32</v>
      </c>
      <c r="P20" s="4"/>
      <c r="AH20" s="7"/>
    </row>
    <row r="21" spans="1:34">
      <c r="A21" s="12" t="s">
        <v>69</v>
      </c>
      <c r="B21" s="13">
        <v>1</v>
      </c>
      <c r="C21" s="13">
        <v>1</v>
      </c>
      <c r="D21" s="14">
        <v>2283292</v>
      </c>
      <c r="E21" s="14">
        <v>1744350</v>
      </c>
      <c r="F21" s="15" t="s">
        <v>70</v>
      </c>
      <c r="G21" s="18"/>
      <c r="H21" s="18"/>
      <c r="I21" s="18" t="s">
        <v>17</v>
      </c>
      <c r="J21" s="12"/>
      <c r="K21" s="12"/>
      <c r="L21" s="12" t="str">
        <f>IF(COUNTIFS(Table83[[#This Row],[Base Table]:[Energy Table]],"y")&gt;0,"y")</f>
        <v>y</v>
      </c>
      <c r="M21" s="16" t="s">
        <v>35</v>
      </c>
      <c r="N21" s="17" t="s">
        <v>19</v>
      </c>
      <c r="O21" s="17" t="s">
        <v>32</v>
      </c>
      <c r="P21" s="4"/>
      <c r="AH21" s="7"/>
    </row>
    <row r="22" spans="1:34">
      <c r="A22" s="12" t="s">
        <v>71</v>
      </c>
      <c r="B22" s="13">
        <v>1</v>
      </c>
      <c r="C22" s="13">
        <v>1</v>
      </c>
      <c r="D22" s="14">
        <v>2283292</v>
      </c>
      <c r="E22" s="14">
        <v>1744350</v>
      </c>
      <c r="F22" s="15" t="s">
        <v>72</v>
      </c>
      <c r="G22" s="18"/>
      <c r="H22" s="18"/>
      <c r="I22" s="18" t="s">
        <v>17</v>
      </c>
      <c r="J22" s="12"/>
      <c r="K22" s="12"/>
      <c r="L22" s="12" t="str">
        <f>IF(COUNTIFS(Table83[[#This Row],[Base Table]:[Energy Table]],"y")&gt;0,"y")</f>
        <v>y</v>
      </c>
      <c r="M22" s="16" t="s">
        <v>35</v>
      </c>
      <c r="N22" s="17" t="s">
        <v>19</v>
      </c>
      <c r="O22" s="17" t="s">
        <v>32</v>
      </c>
      <c r="P22" s="4"/>
      <c r="AH22" s="7"/>
    </row>
    <row r="23" spans="1:34" s="8" customFormat="1">
      <c r="A23" s="12" t="s">
        <v>73</v>
      </c>
      <c r="B23" s="13">
        <v>1</v>
      </c>
      <c r="C23" s="13">
        <v>1</v>
      </c>
      <c r="D23" s="14">
        <v>2283292</v>
      </c>
      <c r="E23" s="14">
        <v>1744350</v>
      </c>
      <c r="F23" s="15" t="s">
        <v>74</v>
      </c>
      <c r="G23" s="18"/>
      <c r="H23" s="18"/>
      <c r="I23" s="18" t="s">
        <v>17</v>
      </c>
      <c r="J23" s="12"/>
      <c r="K23" s="12"/>
      <c r="L23" s="12" t="str">
        <f>IF(COUNTIFS(Table83[[#This Row],[Base Table]:[Energy Table]],"y")&gt;0,"y")</f>
        <v>y</v>
      </c>
      <c r="M23" s="16" t="s">
        <v>35</v>
      </c>
      <c r="N23" s="17" t="s">
        <v>19</v>
      </c>
      <c r="O23" s="17" t="s">
        <v>32</v>
      </c>
      <c r="AH23" s="7"/>
    </row>
    <row r="24" spans="1:34" ht="26.1">
      <c r="A24" s="12" t="s">
        <v>75</v>
      </c>
      <c r="B24" s="13">
        <v>0.53400000000000003</v>
      </c>
      <c r="C24" s="13">
        <v>0.56200000000000006</v>
      </c>
      <c r="D24" s="14">
        <v>1218821</v>
      </c>
      <c r="E24" s="14">
        <v>980809</v>
      </c>
      <c r="F24" s="15" t="s">
        <v>76</v>
      </c>
      <c r="G24" s="18"/>
      <c r="H24" s="18"/>
      <c r="I24" s="18"/>
      <c r="J24" s="12"/>
      <c r="K24" s="12"/>
      <c r="L24" s="12" t="b">
        <f>IF(COUNTIFS(Table83[[#This Row],[Base Table]:[Energy Table]],"y")&gt;0,"y")</f>
        <v>0</v>
      </c>
      <c r="M24" s="16" t="s">
        <v>77</v>
      </c>
      <c r="N24" s="17" t="s">
        <v>19</v>
      </c>
      <c r="O24" s="17" t="s">
        <v>32</v>
      </c>
      <c r="P24" s="4"/>
      <c r="AH24" s="7"/>
    </row>
    <row r="25" spans="1:34" ht="26.1">
      <c r="A25" s="12" t="s">
        <v>78</v>
      </c>
      <c r="B25" s="13">
        <v>0.02</v>
      </c>
      <c r="C25" s="13">
        <v>1.4E-2</v>
      </c>
      <c r="D25" s="14">
        <v>45452</v>
      </c>
      <c r="E25" s="14">
        <v>24767</v>
      </c>
      <c r="F25" s="15" t="s">
        <v>79</v>
      </c>
      <c r="G25" s="18"/>
      <c r="H25" s="18"/>
      <c r="I25" s="18"/>
      <c r="J25" s="12"/>
      <c r="K25" s="12"/>
      <c r="L25" s="12" t="b">
        <f>IF(COUNTIFS(Table83[[#This Row],[Base Table]:[Energy Table]],"y")&gt;0,"y")</f>
        <v>0</v>
      </c>
      <c r="M25" s="16" t="s">
        <v>80</v>
      </c>
      <c r="N25" s="17" t="s">
        <v>81</v>
      </c>
      <c r="O25" s="17" t="s">
        <v>20</v>
      </c>
      <c r="P25" s="4"/>
      <c r="AH25" s="7"/>
    </row>
    <row r="26" spans="1:34" ht="26.1">
      <c r="A26" s="12" t="s">
        <v>82</v>
      </c>
      <c r="B26" s="13">
        <v>0.02</v>
      </c>
      <c r="C26" s="13">
        <v>1.4E-2</v>
      </c>
      <c r="D26" s="14">
        <v>45452</v>
      </c>
      <c r="E26" s="14">
        <v>24767</v>
      </c>
      <c r="F26" s="15" t="s">
        <v>83</v>
      </c>
      <c r="G26" s="18"/>
      <c r="H26" s="18"/>
      <c r="I26" s="18"/>
      <c r="J26" s="12"/>
      <c r="K26" s="12"/>
      <c r="L26" s="12" t="b">
        <f>IF(COUNTIFS(Table83[[#This Row],[Base Table]:[Energy Table]],"y")&gt;0,"y")</f>
        <v>0</v>
      </c>
      <c r="M26" s="16" t="s">
        <v>80</v>
      </c>
      <c r="N26" s="17" t="s">
        <v>81</v>
      </c>
      <c r="O26" s="17" t="s">
        <v>20</v>
      </c>
      <c r="P26" s="4"/>
      <c r="AH26" s="7"/>
    </row>
    <row r="27" spans="1:34" ht="26.1">
      <c r="A27" s="12" t="s">
        <v>84</v>
      </c>
      <c r="B27" s="13">
        <v>0.02</v>
      </c>
      <c r="C27" s="13">
        <v>1.4E-2</v>
      </c>
      <c r="D27" s="14">
        <v>45452</v>
      </c>
      <c r="E27" s="14">
        <v>24767</v>
      </c>
      <c r="F27" s="15" t="s">
        <v>85</v>
      </c>
      <c r="G27" s="18"/>
      <c r="H27" s="18"/>
      <c r="I27" s="18"/>
      <c r="J27" s="12"/>
      <c r="K27" s="12"/>
      <c r="L27" s="12" t="b">
        <f>IF(COUNTIFS(Table83[[#This Row],[Base Table]:[Energy Table]],"y")&gt;0,"y")</f>
        <v>0</v>
      </c>
      <c r="M27" s="16" t="s">
        <v>80</v>
      </c>
      <c r="N27" s="17" t="s">
        <v>81</v>
      </c>
      <c r="O27" s="17" t="s">
        <v>20</v>
      </c>
      <c r="P27" s="4"/>
      <c r="AH27" s="7"/>
    </row>
    <row r="28" spans="1:34" ht="26.1">
      <c r="A28" s="12" t="s">
        <v>86</v>
      </c>
      <c r="B28" s="13">
        <v>0.02</v>
      </c>
      <c r="C28" s="13">
        <v>1.4E-2</v>
      </c>
      <c r="D28" s="14">
        <v>45452</v>
      </c>
      <c r="E28" s="14">
        <v>24767</v>
      </c>
      <c r="F28" s="15" t="s">
        <v>87</v>
      </c>
      <c r="G28" s="18"/>
      <c r="H28" s="18"/>
      <c r="I28" s="18"/>
      <c r="J28" s="12"/>
      <c r="K28" s="12"/>
      <c r="L28" s="12" t="b">
        <f>IF(COUNTIFS(Table83[[#This Row],[Base Table]:[Energy Table]],"y")&gt;0,"y")</f>
        <v>0</v>
      </c>
      <c r="M28" s="16" t="s">
        <v>80</v>
      </c>
      <c r="N28" s="17" t="s">
        <v>81</v>
      </c>
      <c r="O28" s="17" t="s">
        <v>20</v>
      </c>
      <c r="P28" s="4"/>
      <c r="AH28" s="7"/>
    </row>
    <row r="29" spans="1:34">
      <c r="A29" s="12" t="s">
        <v>88</v>
      </c>
      <c r="B29" s="13">
        <v>0.02</v>
      </c>
      <c r="C29" s="13">
        <v>1.4E-2</v>
      </c>
      <c r="D29" s="14">
        <v>45452</v>
      </c>
      <c r="E29" s="14">
        <v>24767</v>
      </c>
      <c r="F29" s="15" t="s">
        <v>89</v>
      </c>
      <c r="G29" s="18"/>
      <c r="H29" s="18"/>
      <c r="I29" s="18"/>
      <c r="J29" s="12"/>
      <c r="K29" s="12"/>
      <c r="L29" s="12" t="b">
        <f>IF(COUNTIFS(Table83[[#This Row],[Base Table]:[Energy Table]],"y")&gt;0,"y")</f>
        <v>0</v>
      </c>
      <c r="M29" s="16" t="s">
        <v>80</v>
      </c>
      <c r="N29" s="17" t="s">
        <v>81</v>
      </c>
      <c r="O29" s="17" t="s">
        <v>20</v>
      </c>
      <c r="P29" s="4"/>
      <c r="AH29" s="7"/>
    </row>
    <row r="30" spans="1:34">
      <c r="A30" s="12" t="s">
        <v>90</v>
      </c>
      <c r="B30" s="13">
        <v>0.49199999999999999</v>
      </c>
      <c r="C30" s="13">
        <v>0.46899999999999997</v>
      </c>
      <c r="D30" s="14">
        <v>1122319</v>
      </c>
      <c r="E30" s="14">
        <v>818326</v>
      </c>
      <c r="F30" s="15" t="s">
        <v>91</v>
      </c>
      <c r="G30" s="18"/>
      <c r="H30" s="18"/>
      <c r="I30" s="18"/>
      <c r="J30" s="12"/>
      <c r="K30" s="12"/>
      <c r="L30" s="12" t="b">
        <f>IF(COUNTIFS(Table83[[#This Row],[Base Table]:[Energy Table]],"y")&gt;0,"y")</f>
        <v>0</v>
      </c>
      <c r="M30" s="16" t="s">
        <v>35</v>
      </c>
      <c r="N30" s="17" t="s">
        <v>92</v>
      </c>
      <c r="O30" s="17" t="s">
        <v>93</v>
      </c>
      <c r="P30" s="4"/>
      <c r="AH30" s="7"/>
    </row>
    <row r="31" spans="1:34">
      <c r="A31" s="12" t="s">
        <v>94</v>
      </c>
      <c r="B31" s="13">
        <v>0.55800000000000005</v>
      </c>
      <c r="C31" s="13">
        <v>0.54</v>
      </c>
      <c r="D31" s="14">
        <v>1274939</v>
      </c>
      <c r="E31" s="14">
        <v>941992</v>
      </c>
      <c r="F31" s="15" t="s">
        <v>95</v>
      </c>
      <c r="G31" s="18"/>
      <c r="H31" s="18"/>
      <c r="I31" s="18"/>
      <c r="J31" s="12"/>
      <c r="K31" s="12"/>
      <c r="L31" s="12" t="b">
        <f>IF(COUNTIFS(Table83[[#This Row],[Base Table]:[Energy Table]],"y")&gt;0,"y")</f>
        <v>0</v>
      </c>
      <c r="M31" s="16" t="s">
        <v>18</v>
      </c>
      <c r="N31" s="17" t="s">
        <v>49</v>
      </c>
      <c r="O31" s="17" t="s">
        <v>93</v>
      </c>
      <c r="P31" s="4"/>
      <c r="AH31" s="7"/>
    </row>
    <row r="32" spans="1:34">
      <c r="A32" s="12" t="s">
        <v>96</v>
      </c>
      <c r="B32" s="13">
        <v>0.53400000000000003</v>
      </c>
      <c r="C32" s="13">
        <v>0.56200000000000006</v>
      </c>
      <c r="D32" s="14">
        <v>1218638</v>
      </c>
      <c r="E32" s="14">
        <v>980796</v>
      </c>
      <c r="F32" s="15" t="s">
        <v>97</v>
      </c>
      <c r="G32" s="18"/>
      <c r="H32" s="18"/>
      <c r="I32" s="18"/>
      <c r="J32" s="12"/>
      <c r="K32" s="12"/>
      <c r="L32" s="12" t="b">
        <f>IF(COUNTIFS(Table83[[#This Row],[Base Table]:[Energy Table]],"y")&gt;0,"y")</f>
        <v>0</v>
      </c>
      <c r="M32" s="16" t="s">
        <v>98</v>
      </c>
      <c r="N32" s="17" t="s">
        <v>19</v>
      </c>
      <c r="O32" s="17" t="s">
        <v>20</v>
      </c>
      <c r="P32" s="4"/>
      <c r="AH32" s="7"/>
    </row>
    <row r="33" spans="1:34" ht="26.1">
      <c r="A33" s="12" t="s">
        <v>99</v>
      </c>
      <c r="B33" s="13">
        <v>1</v>
      </c>
      <c r="C33" s="13">
        <v>1</v>
      </c>
      <c r="D33" s="14">
        <v>2283292</v>
      </c>
      <c r="E33" s="14">
        <v>1744350</v>
      </c>
      <c r="F33" s="15" t="s">
        <v>100</v>
      </c>
      <c r="G33" s="18" t="s">
        <v>17</v>
      </c>
      <c r="H33" s="18"/>
      <c r="I33" s="18"/>
      <c r="J33" s="12"/>
      <c r="K33" s="12"/>
      <c r="L33" s="12" t="str">
        <f>IF(COUNTIFS(Table83[[#This Row],[Base Table]:[Energy Table]],"y")&gt;0,"y")</f>
        <v>y</v>
      </c>
      <c r="M33" s="16" t="s">
        <v>40</v>
      </c>
      <c r="N33" s="17" t="s">
        <v>19</v>
      </c>
      <c r="O33" s="17" t="s">
        <v>20</v>
      </c>
      <c r="P33" s="4"/>
      <c r="AH33" s="7"/>
    </row>
    <row r="34" spans="1:34" ht="26.1">
      <c r="A34" s="12" t="s">
        <v>101</v>
      </c>
      <c r="B34" s="13">
        <v>0.96599999999999997</v>
      </c>
      <c r="C34" s="13">
        <v>0.97</v>
      </c>
      <c r="D34" s="14">
        <v>2204884</v>
      </c>
      <c r="E34" s="14">
        <v>1691883</v>
      </c>
      <c r="F34" s="15" t="s">
        <v>102</v>
      </c>
      <c r="G34" s="18" t="s">
        <v>17</v>
      </c>
      <c r="H34" s="18"/>
      <c r="I34" s="18"/>
      <c r="J34" s="12"/>
      <c r="K34" s="12"/>
      <c r="L34" s="12" t="str">
        <f>IF(COUNTIFS(Table83[[#This Row],[Base Table]:[Energy Table]],"y")&gt;0,"y")</f>
        <v>y</v>
      </c>
      <c r="M34" s="16" t="s">
        <v>80</v>
      </c>
      <c r="N34" s="17" t="s">
        <v>24</v>
      </c>
      <c r="O34" s="17" t="s">
        <v>20</v>
      </c>
      <c r="P34" s="4"/>
      <c r="AH34" s="7"/>
    </row>
    <row r="35" spans="1:34">
      <c r="A35" s="12" t="s">
        <v>103</v>
      </c>
      <c r="B35" s="13">
        <v>1</v>
      </c>
      <c r="C35" s="13">
        <v>1</v>
      </c>
      <c r="D35" s="14">
        <v>2283292</v>
      </c>
      <c r="E35" s="14">
        <v>1744350</v>
      </c>
      <c r="F35" s="15" t="s">
        <v>104</v>
      </c>
      <c r="G35" s="18" t="s">
        <v>17</v>
      </c>
      <c r="H35" s="18"/>
      <c r="I35" s="18"/>
      <c r="J35" s="12"/>
      <c r="K35" s="12"/>
      <c r="L35" s="12" t="str">
        <f>IF(COUNTIFS(Table83[[#This Row],[Base Table]:[Energy Table]],"y")&gt;0,"y")</f>
        <v>y</v>
      </c>
      <c r="M35" s="16" t="s">
        <v>56</v>
      </c>
      <c r="N35" s="17"/>
      <c r="O35" s="17" t="s">
        <v>20</v>
      </c>
      <c r="P35" s="4"/>
      <c r="AH35" s="7"/>
    </row>
    <row r="36" spans="1:34" ht="39">
      <c r="A36" s="12" t="s">
        <v>105</v>
      </c>
      <c r="B36" s="13">
        <v>0.998</v>
      </c>
      <c r="C36" s="13">
        <v>1</v>
      </c>
      <c r="D36" s="14">
        <v>2278323</v>
      </c>
      <c r="E36" s="14">
        <v>1744348</v>
      </c>
      <c r="F36" s="15" t="s">
        <v>106</v>
      </c>
      <c r="G36" s="18" t="s">
        <v>17</v>
      </c>
      <c r="H36" s="18" t="s">
        <v>17</v>
      </c>
      <c r="I36" s="18"/>
      <c r="J36" s="12"/>
      <c r="K36" s="12"/>
      <c r="L36" s="12" t="str">
        <f>IF(COUNTIFS(Table83[[#This Row],[Base Table]:[Energy Table]],"y")&gt;0,"y")</f>
        <v>y</v>
      </c>
      <c r="M36" s="16" t="s">
        <v>98</v>
      </c>
      <c r="N36" s="17" t="s">
        <v>24</v>
      </c>
      <c r="O36" s="17" t="s">
        <v>20</v>
      </c>
      <c r="P36" s="4"/>
      <c r="AH36" s="7"/>
    </row>
    <row r="37" spans="1:34">
      <c r="A37" s="12" t="s">
        <v>107</v>
      </c>
      <c r="B37" s="13">
        <v>1</v>
      </c>
      <c r="C37" s="13">
        <v>1</v>
      </c>
      <c r="D37" s="14">
        <v>2283290</v>
      </c>
      <c r="E37" s="14">
        <v>1744350</v>
      </c>
      <c r="F37" s="15" t="s">
        <v>108</v>
      </c>
      <c r="G37" s="18" t="s">
        <v>17</v>
      </c>
      <c r="H37" s="18"/>
      <c r="I37" s="18"/>
      <c r="J37" s="12"/>
      <c r="K37" s="12"/>
      <c r="L37" s="12" t="str">
        <f>IF(COUNTIFS(Table83[[#This Row],[Base Table]:[Energy Table]],"y")&gt;0,"y")</f>
        <v>y</v>
      </c>
      <c r="M37" s="16" t="s">
        <v>109</v>
      </c>
      <c r="N37" s="17"/>
      <c r="O37" s="17" t="s">
        <v>20</v>
      </c>
      <c r="P37" s="4"/>
      <c r="AH37" s="7"/>
    </row>
    <row r="38" spans="1:34">
      <c r="A38" s="12" t="s">
        <v>110</v>
      </c>
      <c r="B38" s="13">
        <v>1</v>
      </c>
      <c r="C38" s="13">
        <v>1</v>
      </c>
      <c r="D38" s="14">
        <v>2283292</v>
      </c>
      <c r="E38" s="14">
        <v>1744350</v>
      </c>
      <c r="F38" s="15" t="s">
        <v>111</v>
      </c>
      <c r="G38" s="18"/>
      <c r="H38" s="18"/>
      <c r="I38" s="18"/>
      <c r="J38" s="12"/>
      <c r="K38" s="12"/>
      <c r="L38" s="12" t="b">
        <f>IF(COUNTIFS(Table83[[#This Row],[Base Table]:[Energy Table]],"y")&gt;0,"y")</f>
        <v>0</v>
      </c>
      <c r="M38" s="16" t="s">
        <v>35</v>
      </c>
      <c r="N38" s="17" t="s">
        <v>19</v>
      </c>
      <c r="O38" s="17" t="s">
        <v>20</v>
      </c>
      <c r="P38" s="4"/>
      <c r="AH38" s="7"/>
    </row>
    <row r="39" spans="1:34">
      <c r="A39" s="12" t="s">
        <v>112</v>
      </c>
      <c r="B39" s="13">
        <v>1</v>
      </c>
      <c r="C39" s="13">
        <v>1</v>
      </c>
      <c r="D39" s="14">
        <v>2283292</v>
      </c>
      <c r="E39" s="14">
        <v>1744350</v>
      </c>
      <c r="F39" s="15" t="s">
        <v>113</v>
      </c>
      <c r="G39" s="18"/>
      <c r="H39" s="18"/>
      <c r="I39" s="18"/>
      <c r="J39" s="12"/>
      <c r="K39" s="12"/>
      <c r="L39" s="12" t="b">
        <f>IF(COUNTIFS(Table83[[#This Row],[Base Table]:[Energy Table]],"y")&gt;0,"y")</f>
        <v>0</v>
      </c>
      <c r="M39" s="16" t="s">
        <v>35</v>
      </c>
      <c r="N39" s="17" t="s">
        <v>19</v>
      </c>
      <c r="O39" s="17" t="s">
        <v>20</v>
      </c>
      <c r="P39" s="4"/>
      <c r="AH39" s="7"/>
    </row>
    <row r="40" spans="1:34">
      <c r="A40" s="12" t="s">
        <v>114</v>
      </c>
      <c r="B40" s="13">
        <v>1</v>
      </c>
      <c r="C40" s="13">
        <v>1</v>
      </c>
      <c r="D40" s="14">
        <v>2283292</v>
      </c>
      <c r="E40" s="14">
        <v>1744350</v>
      </c>
      <c r="F40" s="15" t="s">
        <v>115</v>
      </c>
      <c r="G40" s="18"/>
      <c r="H40" s="18"/>
      <c r="I40" s="18"/>
      <c r="J40" s="12"/>
      <c r="K40" s="12"/>
      <c r="L40" s="12" t="b">
        <f>IF(COUNTIFS(Table83[[#This Row],[Base Table]:[Energy Table]],"y")&gt;0,"y")</f>
        <v>0</v>
      </c>
      <c r="M40" s="16" t="s">
        <v>18</v>
      </c>
      <c r="N40" s="17" t="s">
        <v>19</v>
      </c>
      <c r="O40" s="17" t="s">
        <v>20</v>
      </c>
      <c r="P40" s="4"/>
      <c r="AH40" s="7"/>
    </row>
    <row r="41" spans="1:34">
      <c r="A41" s="12" t="s">
        <v>116</v>
      </c>
      <c r="B41" s="13">
        <v>1</v>
      </c>
      <c r="C41" s="13">
        <v>1</v>
      </c>
      <c r="D41" s="14">
        <v>2283292</v>
      </c>
      <c r="E41" s="14">
        <v>1744350</v>
      </c>
      <c r="F41" s="15" t="s">
        <v>117</v>
      </c>
      <c r="G41" s="18" t="s">
        <v>17</v>
      </c>
      <c r="H41" s="18" t="s">
        <v>17</v>
      </c>
      <c r="I41" s="18"/>
      <c r="J41" s="12"/>
      <c r="K41" s="12"/>
      <c r="L41" s="12" t="str">
        <f>IF(COUNTIFS(Table83[[#This Row],[Base Table]:[Energy Table]],"y")&gt;0,"y")</f>
        <v>y</v>
      </c>
      <c r="M41" s="16" t="s">
        <v>18</v>
      </c>
      <c r="N41" s="17" t="s">
        <v>24</v>
      </c>
      <c r="O41" s="17" t="s">
        <v>20</v>
      </c>
      <c r="P41" s="4"/>
      <c r="AH41" s="7"/>
    </row>
    <row r="42" spans="1:34">
      <c r="A42" s="12" t="s">
        <v>118</v>
      </c>
      <c r="B42" s="13">
        <v>1</v>
      </c>
      <c r="C42" s="13">
        <v>1</v>
      </c>
      <c r="D42" s="14">
        <v>2283292</v>
      </c>
      <c r="E42" s="14">
        <v>1744350</v>
      </c>
      <c r="F42" s="15" t="s">
        <v>119</v>
      </c>
      <c r="G42" s="18" t="s">
        <v>17</v>
      </c>
      <c r="H42" s="18" t="s">
        <v>17</v>
      </c>
      <c r="I42" s="18"/>
      <c r="J42" s="12"/>
      <c r="K42" s="12"/>
      <c r="L42" s="12" t="str">
        <f>IF(COUNTIFS(Table83[[#This Row],[Base Table]:[Energy Table]],"y")&gt;0,"y")</f>
        <v>y</v>
      </c>
      <c r="M42" s="16" t="s">
        <v>18</v>
      </c>
      <c r="N42" s="17" t="s">
        <v>24</v>
      </c>
      <c r="O42" s="17" t="s">
        <v>20</v>
      </c>
      <c r="P42" s="4"/>
      <c r="AH42" s="7"/>
    </row>
    <row r="43" spans="1:34">
      <c r="A43" s="12" t="s">
        <v>120</v>
      </c>
      <c r="B43" s="13">
        <v>1</v>
      </c>
      <c r="C43" s="13">
        <v>1</v>
      </c>
      <c r="D43" s="14">
        <v>2283292</v>
      </c>
      <c r="E43" s="14">
        <v>1744350</v>
      </c>
      <c r="F43" s="15" t="s">
        <v>121</v>
      </c>
      <c r="G43" s="18"/>
      <c r="H43" s="18"/>
      <c r="I43" s="18"/>
      <c r="J43" s="12"/>
      <c r="K43" s="12"/>
      <c r="L43" s="12" t="b">
        <f>IF(COUNTIFS(Table83[[#This Row],[Base Table]:[Energy Table]],"y")&gt;0,"y")</f>
        <v>0</v>
      </c>
      <c r="M43" s="16" t="s">
        <v>18</v>
      </c>
      <c r="N43" s="17" t="s">
        <v>19</v>
      </c>
      <c r="O43" s="17" t="s">
        <v>20</v>
      </c>
      <c r="P43" s="4"/>
      <c r="AH43" s="7"/>
    </row>
    <row r="44" spans="1:34">
      <c r="A44" s="12" t="s">
        <v>122</v>
      </c>
      <c r="B44" s="13">
        <v>1</v>
      </c>
      <c r="C44" s="13">
        <v>1</v>
      </c>
      <c r="D44" s="14">
        <v>2283292</v>
      </c>
      <c r="E44" s="14">
        <v>1744350</v>
      </c>
      <c r="F44" s="15" t="s">
        <v>123</v>
      </c>
      <c r="G44" s="18"/>
      <c r="H44" s="18"/>
      <c r="I44" s="18"/>
      <c r="J44" s="12"/>
      <c r="K44" s="12"/>
      <c r="L44" s="12" t="b">
        <f>IF(COUNTIFS(Table83[[#This Row],[Base Table]:[Energy Table]],"y")&gt;0,"y")</f>
        <v>0</v>
      </c>
      <c r="M44" s="16" t="s">
        <v>35</v>
      </c>
      <c r="N44" s="17" t="s">
        <v>19</v>
      </c>
      <c r="O44" s="17" t="s">
        <v>20</v>
      </c>
      <c r="P44" s="4"/>
      <c r="AH44" s="7"/>
    </row>
    <row r="45" spans="1:34">
      <c r="A45" s="12" t="s">
        <v>124</v>
      </c>
      <c r="B45" s="13">
        <v>1</v>
      </c>
      <c r="C45" s="13">
        <v>1</v>
      </c>
      <c r="D45" s="14">
        <v>2283292</v>
      </c>
      <c r="E45" s="14">
        <v>1744350</v>
      </c>
      <c r="F45" s="15" t="s">
        <v>125</v>
      </c>
      <c r="G45" s="18" t="s">
        <v>17</v>
      </c>
      <c r="H45" s="18" t="s">
        <v>17</v>
      </c>
      <c r="I45" s="18"/>
      <c r="J45" s="12"/>
      <c r="K45" s="12"/>
      <c r="L45" s="12" t="str">
        <f>IF(COUNTIFS(Table83[[#This Row],[Base Table]:[Energy Table]],"y")&gt;0,"y")</f>
        <v>y</v>
      </c>
      <c r="M45" s="16" t="s">
        <v>35</v>
      </c>
      <c r="N45" s="17" t="s">
        <v>19</v>
      </c>
      <c r="O45" s="17" t="s">
        <v>20</v>
      </c>
      <c r="P45" s="4"/>
      <c r="AH45" s="7"/>
    </row>
    <row r="46" spans="1:34">
      <c r="A46" s="12" t="s">
        <v>126</v>
      </c>
      <c r="B46" s="13">
        <v>0.48199999999999998</v>
      </c>
      <c r="C46" s="13">
        <v>0.45600000000000002</v>
      </c>
      <c r="D46" s="14">
        <v>1101118</v>
      </c>
      <c r="E46" s="14">
        <v>794812</v>
      </c>
      <c r="F46" s="15" t="s">
        <v>127</v>
      </c>
      <c r="G46" s="18"/>
      <c r="H46" s="18"/>
      <c r="I46" s="18" t="s">
        <v>17</v>
      </c>
      <c r="J46" s="12"/>
      <c r="K46" s="12"/>
      <c r="L46" s="12" t="str">
        <f>IF(COUNTIFS(Table83[[#This Row],[Base Table]:[Energy Table]],"y")&gt;0,"y")</f>
        <v>y</v>
      </c>
      <c r="M46" s="16" t="s">
        <v>48</v>
      </c>
      <c r="N46" s="17" t="s">
        <v>49</v>
      </c>
      <c r="O46" s="17" t="s">
        <v>20</v>
      </c>
      <c r="P46" s="4"/>
      <c r="AH46" s="7"/>
    </row>
    <row r="47" spans="1:34">
      <c r="A47" s="12" t="s">
        <v>128</v>
      </c>
      <c r="B47" s="13">
        <v>0.55800000000000005</v>
      </c>
      <c r="C47" s="13">
        <v>0.54</v>
      </c>
      <c r="D47" s="14">
        <v>1274939</v>
      </c>
      <c r="E47" s="14">
        <v>941992</v>
      </c>
      <c r="F47" s="15" t="s">
        <v>129</v>
      </c>
      <c r="G47" s="18"/>
      <c r="H47" s="18"/>
      <c r="I47" s="18" t="s">
        <v>17</v>
      </c>
      <c r="J47" s="12"/>
      <c r="K47" s="12"/>
      <c r="L47" s="12" t="str">
        <f>IF(COUNTIFS(Table83[[#This Row],[Base Table]:[Energy Table]],"y")&gt;0,"y")</f>
        <v>y</v>
      </c>
      <c r="M47" s="16" t="s">
        <v>35</v>
      </c>
      <c r="N47" s="17" t="s">
        <v>49</v>
      </c>
      <c r="O47" s="17" t="s">
        <v>20</v>
      </c>
      <c r="P47" s="4"/>
      <c r="AH47" s="7"/>
    </row>
    <row r="48" spans="1:34">
      <c r="A48" s="12" t="s">
        <v>130</v>
      </c>
      <c r="B48" s="13">
        <v>0.55800000000000005</v>
      </c>
      <c r="C48" s="13">
        <v>0.54</v>
      </c>
      <c r="D48" s="14">
        <v>1274939</v>
      </c>
      <c r="E48" s="14">
        <v>941992</v>
      </c>
      <c r="F48" s="15" t="s">
        <v>131</v>
      </c>
      <c r="G48" s="18"/>
      <c r="H48" s="18"/>
      <c r="I48" s="18"/>
      <c r="J48" s="12"/>
      <c r="K48" s="12"/>
      <c r="L48" s="12" t="b">
        <f>IF(COUNTIFS(Table83[[#This Row],[Base Table]:[Energy Table]],"y")&gt;0,"y")</f>
        <v>0</v>
      </c>
      <c r="M48" s="16" t="s">
        <v>35</v>
      </c>
      <c r="N48" s="17" t="s">
        <v>49</v>
      </c>
      <c r="O48" s="17" t="s">
        <v>20</v>
      </c>
      <c r="P48" s="4"/>
      <c r="AH48" s="7"/>
    </row>
    <row r="49" spans="1:34">
      <c r="A49" s="12" t="s">
        <v>132</v>
      </c>
      <c r="B49" s="13">
        <v>0.187</v>
      </c>
      <c r="C49" s="13">
        <v>0.17199999999999999</v>
      </c>
      <c r="D49" s="14">
        <v>426700</v>
      </c>
      <c r="E49" s="14">
        <v>299673</v>
      </c>
      <c r="F49" s="15" t="s">
        <v>133</v>
      </c>
      <c r="G49" s="18"/>
      <c r="H49" s="18"/>
      <c r="I49" s="18"/>
      <c r="J49" s="12"/>
      <c r="K49" s="12"/>
      <c r="L49" s="12" t="b">
        <f>IF(COUNTIFS(Table83[[#This Row],[Base Table]:[Energy Table]],"y")&gt;0,"y")</f>
        <v>0</v>
      </c>
      <c r="M49" s="16" t="s">
        <v>59</v>
      </c>
      <c r="N49" s="17" t="s">
        <v>134</v>
      </c>
      <c r="O49" s="17" t="s">
        <v>20</v>
      </c>
      <c r="P49" s="4"/>
      <c r="AH49" s="7"/>
    </row>
    <row r="50" spans="1:34">
      <c r="A50" s="12" t="s">
        <v>135</v>
      </c>
      <c r="B50" s="13">
        <v>0.77300000000000002</v>
      </c>
      <c r="C50" s="13">
        <v>0.83399999999999996</v>
      </c>
      <c r="D50" s="14">
        <v>1766087</v>
      </c>
      <c r="E50" s="14">
        <v>1453990</v>
      </c>
      <c r="F50" s="15" t="s">
        <v>136</v>
      </c>
      <c r="G50" s="18"/>
      <c r="H50" s="18"/>
      <c r="I50" s="18"/>
      <c r="J50" s="12"/>
      <c r="K50" s="12"/>
      <c r="L50" s="12" t="b">
        <f>IF(COUNTIFS(Table83[[#This Row],[Base Table]:[Energy Table]],"y")&gt;0,"y")</f>
        <v>0</v>
      </c>
      <c r="M50" s="16" t="s">
        <v>18</v>
      </c>
      <c r="N50" s="17" t="s">
        <v>27</v>
      </c>
      <c r="O50" s="17" t="s">
        <v>20</v>
      </c>
      <c r="P50" s="4"/>
      <c r="AH50" s="7"/>
    </row>
    <row r="51" spans="1:34" ht="26.1">
      <c r="A51" s="12" t="s">
        <v>137</v>
      </c>
      <c r="B51" s="13">
        <v>0.187</v>
      </c>
      <c r="C51" s="13">
        <v>0.17199999999999999</v>
      </c>
      <c r="D51" s="14">
        <v>426700</v>
      </c>
      <c r="E51" s="14">
        <v>299673</v>
      </c>
      <c r="F51" s="15" t="s">
        <v>138</v>
      </c>
      <c r="G51" s="18"/>
      <c r="H51" s="18"/>
      <c r="I51" s="18"/>
      <c r="J51" s="12"/>
      <c r="K51" s="12"/>
      <c r="L51" s="12" t="b">
        <f>IF(COUNTIFS(Table83[[#This Row],[Base Table]:[Energy Table]],"y")&gt;0,"y")</f>
        <v>0</v>
      </c>
      <c r="M51" s="16" t="s">
        <v>59</v>
      </c>
      <c r="N51" s="17" t="s">
        <v>134</v>
      </c>
      <c r="O51" s="17" t="s">
        <v>20</v>
      </c>
      <c r="P51" s="4"/>
      <c r="AH51" s="7"/>
    </row>
    <row r="52" spans="1:34">
      <c r="A52" s="12" t="s">
        <v>139</v>
      </c>
      <c r="B52" s="13" t="e">
        <v>#N/A</v>
      </c>
      <c r="C52" s="13" t="e">
        <v>#N/A</v>
      </c>
      <c r="D52" s="14" t="e">
        <v>#N/A</v>
      </c>
      <c r="E52" s="14" t="e">
        <v>#N/A</v>
      </c>
      <c r="F52" s="15" t="s">
        <v>140</v>
      </c>
      <c r="G52" s="18"/>
      <c r="H52" s="18" t="s">
        <v>17</v>
      </c>
      <c r="I52" s="18"/>
      <c r="J52" s="12"/>
      <c r="K52" s="12"/>
      <c r="L52" s="12" t="str">
        <f>IF(COUNTIFS(Table83[[#This Row],[Base Table]:[Energy Table]],"y")&gt;0,"y")</f>
        <v>y</v>
      </c>
      <c r="M52" s="16" t="s">
        <v>18</v>
      </c>
      <c r="N52" s="17" t="s">
        <v>141</v>
      </c>
      <c r="O52" s="17" t="s">
        <v>32</v>
      </c>
      <c r="P52" s="4"/>
      <c r="AH52" s="7"/>
    </row>
    <row r="53" spans="1:34">
      <c r="A53" s="12" t="s">
        <v>142</v>
      </c>
      <c r="B53" s="13">
        <v>0.20300000000000001</v>
      </c>
      <c r="C53" s="13">
        <v>0.17899999999999999</v>
      </c>
      <c r="D53" s="14">
        <v>464342</v>
      </c>
      <c r="E53" s="14">
        <v>312197</v>
      </c>
      <c r="F53" s="15" t="s">
        <v>143</v>
      </c>
      <c r="G53" s="18"/>
      <c r="H53" s="18" t="s">
        <v>17</v>
      </c>
      <c r="I53" s="18"/>
      <c r="J53" s="12"/>
      <c r="K53" s="12"/>
      <c r="L53" s="12" t="str">
        <f>IF(COUNTIFS(Table83[[#This Row],[Base Table]:[Energy Table]],"y")&gt;0,"y")</f>
        <v>y</v>
      </c>
      <c r="M53" s="16" t="s">
        <v>18</v>
      </c>
      <c r="N53" s="17" t="s">
        <v>141</v>
      </c>
      <c r="O53" s="17" t="s">
        <v>32</v>
      </c>
      <c r="P53" s="4"/>
      <c r="AH53" s="7"/>
    </row>
    <row r="54" spans="1:34">
      <c r="A54" s="12" t="s">
        <v>144</v>
      </c>
      <c r="B54" s="13">
        <v>0.20200000000000001</v>
      </c>
      <c r="C54" s="13">
        <v>0.17699999999999999</v>
      </c>
      <c r="D54" s="14">
        <v>461405</v>
      </c>
      <c r="E54" s="14">
        <v>308599</v>
      </c>
      <c r="F54" s="15" t="s">
        <v>145</v>
      </c>
      <c r="G54" s="18"/>
      <c r="H54" s="18" t="s">
        <v>17</v>
      </c>
      <c r="I54" s="18"/>
      <c r="J54" s="12"/>
      <c r="K54" s="12"/>
      <c r="L54" s="12" t="str">
        <f>IF(COUNTIFS(Table83[[#This Row],[Base Table]:[Energy Table]],"y")&gt;0,"y")</f>
        <v>y</v>
      </c>
      <c r="M54" s="16" t="s">
        <v>18</v>
      </c>
      <c r="N54" s="17" t="s">
        <v>141</v>
      </c>
      <c r="O54" s="17" t="s">
        <v>32</v>
      </c>
      <c r="P54" s="4"/>
      <c r="AH54" s="7"/>
    </row>
    <row r="55" spans="1:34">
      <c r="A55" s="12" t="s">
        <v>146</v>
      </c>
      <c r="B55" s="13">
        <v>0.20200000000000001</v>
      </c>
      <c r="C55" s="13">
        <v>0.17699999999999999</v>
      </c>
      <c r="D55" s="14">
        <v>461243</v>
      </c>
      <c r="E55" s="14">
        <v>309034</v>
      </c>
      <c r="F55" s="15" t="s">
        <v>147</v>
      </c>
      <c r="G55" s="18"/>
      <c r="H55" s="18" t="s">
        <v>17</v>
      </c>
      <c r="I55" s="18"/>
      <c r="J55" s="12"/>
      <c r="K55" s="12"/>
      <c r="L55" s="12" t="str">
        <f>IF(COUNTIFS(Table83[[#This Row],[Base Table]:[Energy Table]],"y")&gt;0,"y")</f>
        <v>y</v>
      </c>
      <c r="M55" s="16" t="s">
        <v>18</v>
      </c>
      <c r="N55" s="17" t="s">
        <v>141</v>
      </c>
      <c r="O55" s="17" t="s">
        <v>32</v>
      </c>
      <c r="P55" s="4"/>
      <c r="AH55" s="7"/>
    </row>
    <row r="56" spans="1:34">
      <c r="A56" s="12" t="s">
        <v>148</v>
      </c>
      <c r="B56" s="13">
        <v>0.20399999999999999</v>
      </c>
      <c r="C56" s="13">
        <v>0.17899999999999999</v>
      </c>
      <c r="D56" s="14">
        <v>465805</v>
      </c>
      <c r="E56" s="14">
        <v>311886</v>
      </c>
      <c r="F56" s="15" t="s">
        <v>149</v>
      </c>
      <c r="G56" s="18"/>
      <c r="H56" s="18" t="s">
        <v>17</v>
      </c>
      <c r="I56" s="18"/>
      <c r="J56" s="12"/>
      <c r="K56" s="12"/>
      <c r="L56" s="12" t="str">
        <f>IF(COUNTIFS(Table83[[#This Row],[Base Table]:[Energy Table]],"y")&gt;0,"y")</f>
        <v>y</v>
      </c>
      <c r="M56" s="16" t="s">
        <v>18</v>
      </c>
      <c r="N56" s="17" t="s">
        <v>141</v>
      </c>
      <c r="O56" s="17" t="s">
        <v>32</v>
      </c>
      <c r="P56" s="4"/>
      <c r="AH56" s="7"/>
    </row>
    <row r="57" spans="1:34">
      <c r="A57" s="12" t="s">
        <v>150</v>
      </c>
      <c r="B57" s="13">
        <v>0.20300000000000001</v>
      </c>
      <c r="C57" s="13">
        <v>0.17799999999999999</v>
      </c>
      <c r="D57" s="14">
        <v>463305</v>
      </c>
      <c r="E57" s="14">
        <v>310428</v>
      </c>
      <c r="F57" s="15" t="s">
        <v>151</v>
      </c>
      <c r="G57" s="18"/>
      <c r="H57" s="18" t="s">
        <v>17</v>
      </c>
      <c r="I57" s="18"/>
      <c r="J57" s="12"/>
      <c r="K57" s="12"/>
      <c r="L57" s="12" t="str">
        <f>IF(COUNTIFS(Table83[[#This Row],[Base Table]:[Energy Table]],"y")&gt;0,"y")</f>
        <v>y</v>
      </c>
      <c r="M57" s="16" t="s">
        <v>18</v>
      </c>
      <c r="N57" s="17" t="s">
        <v>141</v>
      </c>
      <c r="O57" s="17" t="s">
        <v>32</v>
      </c>
      <c r="P57" s="4"/>
      <c r="AH57" s="7"/>
    </row>
    <row r="58" spans="1:34">
      <c r="A58" s="12" t="s">
        <v>152</v>
      </c>
      <c r="B58" s="13">
        <v>0.20200000000000001</v>
      </c>
      <c r="C58" s="13">
        <v>0.17699999999999999</v>
      </c>
      <c r="D58" s="14">
        <v>460627</v>
      </c>
      <c r="E58" s="14">
        <v>308286</v>
      </c>
      <c r="F58" s="15" t="s">
        <v>153</v>
      </c>
      <c r="G58" s="18"/>
      <c r="H58" s="18" t="s">
        <v>17</v>
      </c>
      <c r="I58" s="18"/>
      <c r="J58" s="12"/>
      <c r="K58" s="12"/>
      <c r="L58" s="12" t="str">
        <f>IF(COUNTIFS(Table83[[#This Row],[Base Table]:[Energy Table]],"y")&gt;0,"y")</f>
        <v>y</v>
      </c>
      <c r="M58" s="16" t="s">
        <v>18</v>
      </c>
      <c r="N58" s="17" t="s">
        <v>141</v>
      </c>
      <c r="O58" s="17" t="s">
        <v>32</v>
      </c>
      <c r="P58" s="4"/>
      <c r="AH58" s="7"/>
    </row>
    <row r="59" spans="1:34">
      <c r="A59" s="12" t="s">
        <v>154</v>
      </c>
      <c r="B59" s="13">
        <v>0.20200000000000001</v>
      </c>
      <c r="C59" s="13">
        <v>0.17699999999999999</v>
      </c>
      <c r="D59" s="14">
        <v>461804</v>
      </c>
      <c r="E59" s="14">
        <v>309609</v>
      </c>
      <c r="F59" s="15" t="s">
        <v>155</v>
      </c>
      <c r="G59" s="18"/>
      <c r="H59" s="18" t="s">
        <v>17</v>
      </c>
      <c r="I59" s="18"/>
      <c r="J59" s="12"/>
      <c r="K59" s="12"/>
      <c r="L59" s="12" t="str">
        <f>IF(COUNTIFS(Table83[[#This Row],[Base Table]:[Energy Table]],"y")&gt;0,"y")</f>
        <v>y</v>
      </c>
      <c r="M59" s="16" t="s">
        <v>18</v>
      </c>
      <c r="N59" s="17" t="s">
        <v>141</v>
      </c>
      <c r="O59" s="17" t="s">
        <v>32</v>
      </c>
      <c r="P59" s="4"/>
      <c r="AH59" s="7"/>
    </row>
    <row r="60" spans="1:34">
      <c r="A60" s="12" t="s">
        <v>156</v>
      </c>
      <c r="B60" s="13">
        <v>0.20300000000000001</v>
      </c>
      <c r="C60" s="13">
        <v>0.17799999999999999</v>
      </c>
      <c r="D60" s="14">
        <v>464200</v>
      </c>
      <c r="E60" s="14">
        <v>311125</v>
      </c>
      <c r="F60" s="15" t="s">
        <v>157</v>
      </c>
      <c r="G60" s="18"/>
      <c r="H60" s="18" t="s">
        <v>17</v>
      </c>
      <c r="I60" s="18"/>
      <c r="J60" s="12"/>
      <c r="K60" s="12"/>
      <c r="L60" s="12" t="str">
        <f>IF(COUNTIFS(Table83[[#This Row],[Base Table]:[Energy Table]],"y")&gt;0,"y")</f>
        <v>y</v>
      </c>
      <c r="M60" s="16" t="s">
        <v>18</v>
      </c>
      <c r="N60" s="17" t="s">
        <v>141</v>
      </c>
      <c r="O60" s="17" t="s">
        <v>32</v>
      </c>
      <c r="P60" s="4"/>
      <c r="AH60" s="7"/>
    </row>
    <row r="61" spans="1:34">
      <c r="A61" s="12" t="s">
        <v>158</v>
      </c>
      <c r="B61" s="13">
        <v>0.20300000000000001</v>
      </c>
      <c r="C61" s="13">
        <v>0.17799999999999999</v>
      </c>
      <c r="D61" s="14">
        <v>463696</v>
      </c>
      <c r="E61" s="14">
        <v>311262</v>
      </c>
      <c r="F61" s="15" t="s">
        <v>159</v>
      </c>
      <c r="G61" s="18"/>
      <c r="H61" s="18" t="s">
        <v>17</v>
      </c>
      <c r="I61" s="18"/>
      <c r="J61" s="12"/>
      <c r="K61" s="12"/>
      <c r="L61" s="12" t="str">
        <f>IF(COUNTIFS(Table83[[#This Row],[Base Table]:[Energy Table]],"y")&gt;0,"y")</f>
        <v>y</v>
      </c>
      <c r="M61" s="16" t="s">
        <v>18</v>
      </c>
      <c r="N61" s="17" t="s">
        <v>141</v>
      </c>
      <c r="O61" s="17" t="s">
        <v>32</v>
      </c>
      <c r="P61" s="4"/>
      <c r="AH61" s="7"/>
    </row>
    <row r="62" spans="1:34">
      <c r="A62" s="12" t="s">
        <v>160</v>
      </c>
      <c r="B62" s="13">
        <v>0.20200000000000001</v>
      </c>
      <c r="C62" s="13">
        <v>0.17699999999999999</v>
      </c>
      <c r="D62" s="14">
        <v>460738</v>
      </c>
      <c r="E62" s="14">
        <v>308397</v>
      </c>
      <c r="F62" s="15" t="s">
        <v>161</v>
      </c>
      <c r="G62" s="18"/>
      <c r="H62" s="18" t="s">
        <v>17</v>
      </c>
      <c r="I62" s="18"/>
      <c r="J62" s="12"/>
      <c r="K62" s="12"/>
      <c r="L62" s="12" t="str">
        <f>IF(COUNTIFS(Table83[[#This Row],[Base Table]:[Energy Table]],"y")&gt;0,"y")</f>
        <v>y</v>
      </c>
      <c r="M62" s="16" t="s">
        <v>18</v>
      </c>
      <c r="N62" s="17" t="s">
        <v>141</v>
      </c>
      <c r="O62" s="17" t="s">
        <v>32</v>
      </c>
      <c r="P62" s="4"/>
      <c r="AH62" s="7"/>
    </row>
    <row r="63" spans="1:34">
      <c r="A63" s="12" t="s">
        <v>162</v>
      </c>
      <c r="B63" s="13">
        <v>0.20399999999999999</v>
      </c>
      <c r="C63" s="13">
        <v>0.17899999999999999</v>
      </c>
      <c r="D63" s="14">
        <v>465513</v>
      </c>
      <c r="E63" s="14">
        <v>312277</v>
      </c>
      <c r="F63" s="15" t="s">
        <v>163</v>
      </c>
      <c r="G63" s="18"/>
      <c r="H63" s="18" t="s">
        <v>17</v>
      </c>
      <c r="I63" s="18"/>
      <c r="J63" s="12"/>
      <c r="K63" s="12"/>
      <c r="L63" s="12" t="str">
        <f>IF(COUNTIFS(Table83[[#This Row],[Base Table]:[Energy Table]],"y")&gt;0,"y")</f>
        <v>y</v>
      </c>
      <c r="M63" s="16" t="s">
        <v>18</v>
      </c>
      <c r="N63" s="17" t="s">
        <v>141</v>
      </c>
      <c r="O63" s="17" t="s">
        <v>32</v>
      </c>
      <c r="P63" s="4"/>
      <c r="AH63" s="7"/>
    </row>
    <row r="64" spans="1:34">
      <c r="A64" s="12" t="s">
        <v>164</v>
      </c>
      <c r="B64" s="13">
        <v>0.378</v>
      </c>
      <c r="C64" s="13">
        <v>0.35099999999999998</v>
      </c>
      <c r="D64" s="14">
        <v>863589</v>
      </c>
      <c r="E64" s="14">
        <v>611706</v>
      </c>
      <c r="F64" s="15" t="s">
        <v>165</v>
      </c>
      <c r="G64" s="18" t="s">
        <v>17</v>
      </c>
      <c r="H64" s="18" t="s">
        <v>17</v>
      </c>
      <c r="I64" s="18"/>
      <c r="J64" s="12"/>
      <c r="K64" s="12"/>
      <c r="L64" s="12" t="str">
        <f>IF(COUNTIFS(Table83[[#This Row],[Base Table]:[Energy Table]],"y")&gt;0,"y")</f>
        <v>y</v>
      </c>
      <c r="M64" s="16" t="s">
        <v>18</v>
      </c>
      <c r="N64" s="17" t="s">
        <v>53</v>
      </c>
      <c r="O64" s="17" t="s">
        <v>20</v>
      </c>
      <c r="P64" s="4"/>
      <c r="AH64" s="7"/>
    </row>
    <row r="65" spans="1:34">
      <c r="A65" s="12" t="s">
        <v>166</v>
      </c>
      <c r="B65" s="13">
        <v>0.378</v>
      </c>
      <c r="C65" s="13">
        <v>0.35099999999999998</v>
      </c>
      <c r="D65" s="14">
        <v>863589</v>
      </c>
      <c r="E65" s="14">
        <v>611706</v>
      </c>
      <c r="F65" s="15" t="s">
        <v>167</v>
      </c>
      <c r="G65" s="18" t="s">
        <v>17</v>
      </c>
      <c r="H65" s="18" t="s">
        <v>17</v>
      </c>
      <c r="I65" s="18"/>
      <c r="J65" s="12"/>
      <c r="K65" s="12"/>
      <c r="L65" s="12" t="str">
        <f>IF(COUNTIFS(Table83[[#This Row],[Base Table]:[Energy Table]],"y")&gt;0,"y")</f>
        <v>y</v>
      </c>
      <c r="M65" s="16" t="s">
        <v>18</v>
      </c>
      <c r="N65" s="17" t="s">
        <v>53</v>
      </c>
      <c r="O65" s="17" t="s">
        <v>20</v>
      </c>
      <c r="P65" s="4"/>
      <c r="AH65" s="7"/>
    </row>
    <row r="66" spans="1:34">
      <c r="A66" s="12" t="s">
        <v>168</v>
      </c>
      <c r="B66" s="13">
        <v>0.378</v>
      </c>
      <c r="C66" s="13">
        <v>0.35099999999999998</v>
      </c>
      <c r="D66" s="14">
        <v>863589</v>
      </c>
      <c r="E66" s="14">
        <v>611706</v>
      </c>
      <c r="F66" s="15" t="s">
        <v>169</v>
      </c>
      <c r="G66" s="18" t="s">
        <v>17</v>
      </c>
      <c r="H66" s="18" t="s">
        <v>17</v>
      </c>
      <c r="I66" s="18"/>
      <c r="J66" s="12"/>
      <c r="K66" s="12"/>
      <c r="L66" s="12" t="str">
        <f>IF(COUNTIFS(Table83[[#This Row],[Base Table]:[Energy Table]],"y")&gt;0,"y")</f>
        <v>y</v>
      </c>
      <c r="M66" s="16" t="s">
        <v>18</v>
      </c>
      <c r="N66" s="17" t="s">
        <v>53</v>
      </c>
      <c r="O66" s="17" t="s">
        <v>20</v>
      </c>
      <c r="P66" s="4"/>
      <c r="AH66" s="7"/>
    </row>
    <row r="67" spans="1:34">
      <c r="A67" s="12" t="s">
        <v>170</v>
      </c>
      <c r="B67" s="13">
        <v>0.378</v>
      </c>
      <c r="C67" s="13">
        <v>0.35099999999999998</v>
      </c>
      <c r="D67" s="14">
        <v>863589</v>
      </c>
      <c r="E67" s="14">
        <v>611706</v>
      </c>
      <c r="F67" s="15" t="s">
        <v>171</v>
      </c>
      <c r="G67" s="18" t="s">
        <v>17</v>
      </c>
      <c r="H67" s="18" t="s">
        <v>17</v>
      </c>
      <c r="I67" s="18"/>
      <c r="J67" s="12"/>
      <c r="K67" s="12"/>
      <c r="L67" s="12" t="str">
        <f>IF(COUNTIFS(Table83[[#This Row],[Base Table]:[Energy Table]],"y")&gt;0,"y")</f>
        <v>y</v>
      </c>
      <c r="M67" s="16" t="s">
        <v>18</v>
      </c>
      <c r="N67" s="17" t="s">
        <v>53</v>
      </c>
      <c r="O67" s="17" t="s">
        <v>20</v>
      </c>
      <c r="P67" s="4"/>
      <c r="AH67" s="7"/>
    </row>
    <row r="68" spans="1:34" ht="26.1">
      <c r="A68" s="12" t="s">
        <v>172</v>
      </c>
      <c r="B68" s="13">
        <v>0.187</v>
      </c>
      <c r="C68" s="13">
        <v>0.17199999999999999</v>
      </c>
      <c r="D68" s="14">
        <v>426700</v>
      </c>
      <c r="E68" s="14">
        <v>299673</v>
      </c>
      <c r="F68" s="15" t="s">
        <v>173</v>
      </c>
      <c r="G68" s="18"/>
      <c r="H68" s="18"/>
      <c r="I68" s="18"/>
      <c r="J68" s="12"/>
      <c r="K68" s="12"/>
      <c r="L68" s="12" t="b">
        <f>IF(COUNTIFS(Table83[[#This Row],[Base Table]:[Energy Table]],"y")&gt;0,"y")</f>
        <v>0</v>
      </c>
      <c r="M68" s="16" t="s">
        <v>59</v>
      </c>
      <c r="N68" s="17" t="s">
        <v>134</v>
      </c>
      <c r="O68" s="17" t="s">
        <v>20</v>
      </c>
      <c r="P68" s="4"/>
      <c r="AH68" s="7"/>
    </row>
    <row r="69" spans="1:34" ht="26.1">
      <c r="A69" s="12" t="s">
        <v>174</v>
      </c>
      <c r="B69" s="13">
        <v>0.187</v>
      </c>
      <c r="C69" s="13">
        <v>0.17199999999999999</v>
      </c>
      <c r="D69" s="14">
        <v>426700</v>
      </c>
      <c r="E69" s="14">
        <v>299673</v>
      </c>
      <c r="F69" s="15" t="s">
        <v>175</v>
      </c>
      <c r="G69" s="18"/>
      <c r="H69" s="18"/>
      <c r="I69" s="18"/>
      <c r="J69" s="12"/>
      <c r="K69" s="12"/>
      <c r="L69" s="12" t="b">
        <f>IF(COUNTIFS(Table83[[#This Row],[Base Table]:[Energy Table]],"y")&gt;0,"y")</f>
        <v>0</v>
      </c>
      <c r="M69" s="16" t="s">
        <v>59</v>
      </c>
      <c r="N69" s="17" t="s">
        <v>134</v>
      </c>
      <c r="O69" s="17" t="s">
        <v>20</v>
      </c>
      <c r="P69" s="4"/>
      <c r="AH69" s="7"/>
    </row>
    <row r="70" spans="1:34">
      <c r="A70" s="12" t="s">
        <v>176</v>
      </c>
      <c r="B70" s="13">
        <v>1</v>
      </c>
      <c r="C70" s="13">
        <v>1</v>
      </c>
      <c r="D70" s="14">
        <v>2283292</v>
      </c>
      <c r="E70" s="14">
        <v>1744350</v>
      </c>
      <c r="F70" s="15" t="s">
        <v>177</v>
      </c>
      <c r="G70" s="18"/>
      <c r="H70" s="18"/>
      <c r="I70" s="18"/>
      <c r="J70" s="12"/>
      <c r="K70" s="12"/>
      <c r="L70" s="12" t="b">
        <f>IF(COUNTIFS(Table83[[#This Row],[Base Table]:[Energy Table]],"y")&gt;0,"y")</f>
        <v>0</v>
      </c>
      <c r="M70" s="16" t="s">
        <v>178</v>
      </c>
      <c r="N70" s="17" t="s">
        <v>19</v>
      </c>
      <c r="O70" s="17" t="s">
        <v>20</v>
      </c>
      <c r="P70" s="4"/>
      <c r="AH70" s="7"/>
    </row>
    <row r="71" spans="1:34">
      <c r="A71" s="12" t="s">
        <v>179</v>
      </c>
      <c r="B71" s="13">
        <v>1</v>
      </c>
      <c r="C71" s="13">
        <v>1</v>
      </c>
      <c r="D71" s="14">
        <v>2283292</v>
      </c>
      <c r="E71" s="14">
        <v>1744350</v>
      </c>
      <c r="F71" s="15" t="s">
        <v>180</v>
      </c>
      <c r="G71" s="18"/>
      <c r="H71" s="18"/>
      <c r="I71" s="18"/>
      <c r="J71" s="12"/>
      <c r="K71" s="12"/>
      <c r="L71" s="12" t="b">
        <f>IF(COUNTIFS(Table83[[#This Row],[Base Table]:[Energy Table]],"y")&gt;0,"y")</f>
        <v>0</v>
      </c>
      <c r="M71" s="16" t="s">
        <v>178</v>
      </c>
      <c r="N71" s="17" t="s">
        <v>19</v>
      </c>
      <c r="O71" s="17" t="s">
        <v>20</v>
      </c>
      <c r="P71" s="4"/>
      <c r="AH71" s="7"/>
    </row>
    <row r="72" spans="1:34">
      <c r="A72" s="12" t="s">
        <v>181</v>
      </c>
      <c r="B72" s="13">
        <v>1E-3</v>
      </c>
      <c r="C72" s="13">
        <v>2E-3</v>
      </c>
      <c r="D72" s="14">
        <v>3403</v>
      </c>
      <c r="E72" s="14">
        <v>4054</v>
      </c>
      <c r="F72" s="15" t="s">
        <v>182</v>
      </c>
      <c r="G72" s="18"/>
      <c r="H72" s="18"/>
      <c r="I72" s="18"/>
      <c r="J72" s="12"/>
      <c r="K72" s="12"/>
      <c r="L72" s="12" t="b">
        <f>IF(COUNTIFS(Table83[[#This Row],[Base Table]:[Energy Table]],"y")&gt;0,"y")</f>
        <v>0</v>
      </c>
      <c r="M72" s="16" t="s">
        <v>23</v>
      </c>
      <c r="N72" s="17" t="s">
        <v>24</v>
      </c>
      <c r="O72" s="17" t="s">
        <v>20</v>
      </c>
      <c r="P72" s="4"/>
      <c r="AH72" s="7"/>
    </row>
    <row r="73" spans="1:34">
      <c r="A73" s="12" t="s">
        <v>183</v>
      </c>
      <c r="B73" s="13">
        <v>0.01</v>
      </c>
      <c r="C73" s="13">
        <v>1.6E-2</v>
      </c>
      <c r="D73" s="14">
        <v>22625</v>
      </c>
      <c r="E73" s="14">
        <v>27723</v>
      </c>
      <c r="F73" s="15" t="s">
        <v>184</v>
      </c>
      <c r="G73" s="18"/>
      <c r="H73" s="18"/>
      <c r="I73" s="18"/>
      <c r="J73" s="12"/>
      <c r="K73" s="12"/>
      <c r="L73" s="12" t="b">
        <f>IF(COUNTIFS(Table83[[#This Row],[Base Table]:[Energy Table]],"y")&gt;0,"y")</f>
        <v>0</v>
      </c>
      <c r="M73" s="16" t="s">
        <v>23</v>
      </c>
      <c r="N73" s="17" t="s">
        <v>24</v>
      </c>
      <c r="O73" s="17" t="s">
        <v>20</v>
      </c>
      <c r="P73" s="4"/>
      <c r="AH73" s="7"/>
    </row>
    <row r="74" spans="1:34">
      <c r="A74" s="12" t="s">
        <v>185</v>
      </c>
      <c r="B74" s="13">
        <v>0.123</v>
      </c>
      <c r="C74" s="13">
        <v>0.12</v>
      </c>
      <c r="D74" s="14">
        <v>281235</v>
      </c>
      <c r="E74" s="14">
        <v>209591</v>
      </c>
      <c r="F74" s="15" t="s">
        <v>186</v>
      </c>
      <c r="G74" s="18" t="s">
        <v>17</v>
      </c>
      <c r="H74" s="18" t="s">
        <v>17</v>
      </c>
      <c r="I74" s="18"/>
      <c r="J74" s="12"/>
      <c r="K74" s="12"/>
      <c r="L74" s="12" t="str">
        <f>IF(COUNTIFS(Table83[[#This Row],[Base Table]:[Energy Table]],"y")&gt;0,"y")</f>
        <v>y</v>
      </c>
      <c r="M74" s="16" t="s">
        <v>98</v>
      </c>
      <c r="N74" s="17" t="s">
        <v>24</v>
      </c>
      <c r="O74" s="17" t="s">
        <v>20</v>
      </c>
      <c r="P74" s="4"/>
      <c r="AH74" s="7"/>
    </row>
    <row r="75" spans="1:34">
      <c r="A75" s="12" t="s">
        <v>187</v>
      </c>
      <c r="B75" s="13">
        <v>0.123</v>
      </c>
      <c r="C75" s="13">
        <v>0.12</v>
      </c>
      <c r="D75" s="14">
        <v>280918</v>
      </c>
      <c r="E75" s="14">
        <v>209340</v>
      </c>
      <c r="F75" s="15" t="s">
        <v>188</v>
      </c>
      <c r="G75" s="18" t="s">
        <v>17</v>
      </c>
      <c r="H75" s="18" t="s">
        <v>17</v>
      </c>
      <c r="I75" s="18"/>
      <c r="J75" s="12"/>
      <c r="K75" s="12"/>
      <c r="L75" s="12" t="str">
        <f>IF(COUNTIFS(Table83[[#This Row],[Base Table]:[Energy Table]],"y")&gt;0,"y")</f>
        <v>y</v>
      </c>
      <c r="M75" s="16" t="s">
        <v>98</v>
      </c>
      <c r="N75" s="17" t="s">
        <v>24</v>
      </c>
      <c r="O75" s="17" t="s">
        <v>20</v>
      </c>
      <c r="P75" s="4"/>
      <c r="AH75" s="7"/>
    </row>
    <row r="76" spans="1:34">
      <c r="A76" s="12" t="s">
        <v>189</v>
      </c>
      <c r="B76" s="13">
        <v>0.52400000000000002</v>
      </c>
      <c r="C76" s="13">
        <v>0.52300000000000002</v>
      </c>
      <c r="D76" s="14">
        <v>1196037</v>
      </c>
      <c r="E76" s="14">
        <v>913007</v>
      </c>
      <c r="F76" s="15" t="s">
        <v>190</v>
      </c>
      <c r="G76" s="18" t="s">
        <v>17</v>
      </c>
      <c r="H76" s="18" t="s">
        <v>17</v>
      </c>
      <c r="I76" s="18"/>
      <c r="J76" s="12"/>
      <c r="K76" s="12"/>
      <c r="L76" s="12" t="str">
        <f>IF(COUNTIFS(Table83[[#This Row],[Base Table]:[Energy Table]],"y")&gt;0,"y")</f>
        <v>y</v>
      </c>
      <c r="M76" s="16" t="s">
        <v>98</v>
      </c>
      <c r="N76" s="17" t="s">
        <v>24</v>
      </c>
      <c r="O76" s="17" t="s">
        <v>20</v>
      </c>
      <c r="P76" s="4"/>
      <c r="AH76" s="7"/>
    </row>
    <row r="77" spans="1:34">
      <c r="A77" s="12" t="s">
        <v>191</v>
      </c>
      <c r="B77" s="13">
        <v>0.52400000000000002</v>
      </c>
      <c r="C77" s="13">
        <v>0.52300000000000002</v>
      </c>
      <c r="D77" s="14">
        <v>1195833</v>
      </c>
      <c r="E77" s="14">
        <v>912855</v>
      </c>
      <c r="F77" s="15" t="s">
        <v>192</v>
      </c>
      <c r="G77" s="18" t="s">
        <v>17</v>
      </c>
      <c r="H77" s="18" t="s">
        <v>17</v>
      </c>
      <c r="I77" s="18"/>
      <c r="J77" s="12"/>
      <c r="K77" s="12"/>
      <c r="L77" s="12" t="str">
        <f>IF(COUNTIFS(Table83[[#This Row],[Base Table]:[Energy Table]],"y")&gt;0,"y")</f>
        <v>y</v>
      </c>
      <c r="M77" s="16" t="s">
        <v>98</v>
      </c>
      <c r="N77" s="17" t="s">
        <v>24</v>
      </c>
      <c r="O77" s="17" t="s">
        <v>20</v>
      </c>
      <c r="P77" s="4"/>
      <c r="AH77" s="7"/>
    </row>
    <row r="78" spans="1:34">
      <c r="A78" s="12" t="s">
        <v>193</v>
      </c>
      <c r="B78" s="13">
        <v>0.77300000000000002</v>
      </c>
      <c r="C78" s="13">
        <v>0.83399999999999996</v>
      </c>
      <c r="D78" s="14">
        <v>1766087</v>
      </c>
      <c r="E78" s="14">
        <v>1453990</v>
      </c>
      <c r="F78" s="15" t="s">
        <v>194</v>
      </c>
      <c r="G78" s="18"/>
      <c r="H78" s="18"/>
      <c r="I78" s="18"/>
      <c r="J78" s="12"/>
      <c r="K78" s="12"/>
      <c r="L78" s="12" t="b">
        <f>IF(COUNTIFS(Table83[[#This Row],[Base Table]:[Energy Table]],"y")&gt;0,"y")</f>
        <v>0</v>
      </c>
      <c r="M78" s="16" t="s">
        <v>18</v>
      </c>
      <c r="N78" s="17" t="s">
        <v>27</v>
      </c>
      <c r="O78" s="17" t="s">
        <v>20</v>
      </c>
      <c r="P78" s="4"/>
      <c r="AH78" s="7"/>
    </row>
    <row r="79" spans="1:34">
      <c r="A79" s="12" t="s">
        <v>195</v>
      </c>
      <c r="B79" s="13">
        <v>1</v>
      </c>
      <c r="C79" s="13">
        <v>1</v>
      </c>
      <c r="D79" s="14">
        <v>2283292</v>
      </c>
      <c r="E79" s="14">
        <v>1744350</v>
      </c>
      <c r="F79" s="15" t="s">
        <v>196</v>
      </c>
      <c r="G79" s="18"/>
      <c r="H79" s="18"/>
      <c r="I79" s="18"/>
      <c r="J79" s="12"/>
      <c r="K79" s="12"/>
      <c r="L79" s="12" t="b">
        <f>IF(COUNTIFS(Table83[[#This Row],[Base Table]:[Energy Table]],"y")&gt;0,"y")</f>
        <v>0</v>
      </c>
      <c r="M79" s="16" t="s">
        <v>35</v>
      </c>
      <c r="N79" s="17" t="s">
        <v>19</v>
      </c>
      <c r="O79" s="17" t="s">
        <v>20</v>
      </c>
      <c r="P79" s="4"/>
      <c r="AH79" s="7"/>
    </row>
    <row r="80" spans="1:34" ht="26.1">
      <c r="A80" s="12" t="s">
        <v>197</v>
      </c>
      <c r="B80" s="13">
        <v>1</v>
      </c>
      <c r="C80" s="13">
        <v>1</v>
      </c>
      <c r="D80" s="14">
        <v>2283292</v>
      </c>
      <c r="E80" s="14">
        <v>1744350</v>
      </c>
      <c r="F80" s="15" t="s">
        <v>198</v>
      </c>
      <c r="G80" s="18"/>
      <c r="H80" s="18"/>
      <c r="I80" s="18"/>
      <c r="J80" s="12"/>
      <c r="K80" s="12"/>
      <c r="L80" s="12" t="b">
        <f>IF(COUNTIFS(Table83[[#This Row],[Base Table]:[Energy Table]],"y")&gt;0,"y")</f>
        <v>0</v>
      </c>
      <c r="M80" s="16" t="s">
        <v>199</v>
      </c>
      <c r="N80" s="17" t="s">
        <v>19</v>
      </c>
      <c r="O80" s="17" t="s">
        <v>20</v>
      </c>
      <c r="P80" s="4"/>
      <c r="AH80" s="7"/>
    </row>
    <row r="81" spans="1:34">
      <c r="A81" s="12" t="s">
        <v>200</v>
      </c>
      <c r="B81" s="13">
        <v>0.48199999999999998</v>
      </c>
      <c r="C81" s="13">
        <v>0.45600000000000002</v>
      </c>
      <c r="D81" s="14">
        <v>1101118</v>
      </c>
      <c r="E81" s="14">
        <v>794812</v>
      </c>
      <c r="F81" s="15" t="s">
        <v>201</v>
      </c>
      <c r="G81" s="18"/>
      <c r="H81" s="18"/>
      <c r="I81" s="18"/>
      <c r="J81" s="12"/>
      <c r="K81" s="12"/>
      <c r="L81" s="12" t="b">
        <f>IF(COUNTIFS(Table83[[#This Row],[Base Table]:[Energy Table]],"y")&gt;0,"y")</f>
        <v>0</v>
      </c>
      <c r="M81" s="16" t="s">
        <v>48</v>
      </c>
      <c r="N81" s="17" t="s">
        <v>49</v>
      </c>
      <c r="O81" s="17" t="s">
        <v>20</v>
      </c>
      <c r="P81" s="4"/>
      <c r="AH81" s="7"/>
    </row>
    <row r="82" spans="1:34">
      <c r="A82" s="12" t="s">
        <v>202</v>
      </c>
      <c r="B82" s="13">
        <v>0.48199999999999998</v>
      </c>
      <c r="C82" s="13">
        <v>0.45600000000000002</v>
      </c>
      <c r="D82" s="14">
        <v>1101118</v>
      </c>
      <c r="E82" s="14">
        <v>794812</v>
      </c>
      <c r="F82" s="15" t="s">
        <v>203</v>
      </c>
      <c r="G82" s="18"/>
      <c r="H82" s="18"/>
      <c r="I82" s="18"/>
      <c r="J82" s="12"/>
      <c r="K82" s="12"/>
      <c r="L82" s="12" t="b">
        <f>IF(COUNTIFS(Table83[[#This Row],[Base Table]:[Energy Table]],"y")&gt;0,"y")</f>
        <v>0</v>
      </c>
      <c r="M82" s="16" t="s">
        <v>48</v>
      </c>
      <c r="N82" s="17" t="s">
        <v>49</v>
      </c>
      <c r="O82" s="17" t="s">
        <v>20</v>
      </c>
      <c r="P82" s="4"/>
      <c r="AH82" s="7"/>
    </row>
    <row r="83" spans="1:34">
      <c r="A83" s="12" t="s">
        <v>204</v>
      </c>
      <c r="B83" s="13">
        <v>0.48199999999999998</v>
      </c>
      <c r="C83" s="13">
        <v>0.45600000000000002</v>
      </c>
      <c r="D83" s="14">
        <v>1101118</v>
      </c>
      <c r="E83" s="14">
        <v>794812</v>
      </c>
      <c r="F83" s="15" t="s">
        <v>205</v>
      </c>
      <c r="G83" s="18"/>
      <c r="H83" s="18"/>
      <c r="I83" s="18"/>
      <c r="J83" s="12"/>
      <c r="K83" s="12"/>
      <c r="L83" s="12" t="b">
        <f>IF(COUNTIFS(Table83[[#This Row],[Base Table]:[Energy Table]],"y")&gt;0,"y")</f>
        <v>0</v>
      </c>
      <c r="M83" s="16" t="s">
        <v>48</v>
      </c>
      <c r="N83" s="17" t="s">
        <v>49</v>
      </c>
      <c r="O83" s="17" t="s">
        <v>20</v>
      </c>
      <c r="P83" s="4"/>
      <c r="AH83" s="7"/>
    </row>
    <row r="84" spans="1:34">
      <c r="A84" s="12" t="s">
        <v>206</v>
      </c>
      <c r="B84" s="13">
        <v>0.48199999999999998</v>
      </c>
      <c r="C84" s="13">
        <v>0.45600000000000002</v>
      </c>
      <c r="D84" s="14">
        <v>1101118</v>
      </c>
      <c r="E84" s="14">
        <v>794812</v>
      </c>
      <c r="F84" s="15" t="s">
        <v>207</v>
      </c>
      <c r="G84" s="18"/>
      <c r="H84" s="18"/>
      <c r="I84" s="18"/>
      <c r="J84" s="12"/>
      <c r="K84" s="12"/>
      <c r="L84" s="12" t="b">
        <f>IF(COUNTIFS(Table83[[#This Row],[Base Table]:[Energy Table]],"y")&gt;0,"y")</f>
        <v>0</v>
      </c>
      <c r="M84" s="16" t="s">
        <v>48</v>
      </c>
      <c r="N84" s="17" t="s">
        <v>49</v>
      </c>
      <c r="O84" s="17" t="s">
        <v>20</v>
      </c>
      <c r="P84" s="4"/>
      <c r="AH84" s="7"/>
    </row>
    <row r="85" spans="1:34">
      <c r="A85" s="12" t="s">
        <v>208</v>
      </c>
      <c r="B85" s="13">
        <v>1</v>
      </c>
      <c r="C85" s="13">
        <v>1</v>
      </c>
      <c r="D85" s="14">
        <v>2283292</v>
      </c>
      <c r="E85" s="14">
        <v>1744350</v>
      </c>
      <c r="F85" s="15" t="s">
        <v>209</v>
      </c>
      <c r="G85" s="18" t="s">
        <v>17</v>
      </c>
      <c r="H85" s="18"/>
      <c r="I85" s="18"/>
      <c r="J85" s="12"/>
      <c r="K85" s="12"/>
      <c r="L85" s="12" t="str">
        <f>IF(COUNTIFS(Table83[[#This Row],[Base Table]:[Energy Table]],"y")&gt;0,"y")</f>
        <v>y</v>
      </c>
      <c r="M85" s="16" t="s">
        <v>35</v>
      </c>
      <c r="N85" s="17" t="s">
        <v>19</v>
      </c>
      <c r="O85" s="17" t="s">
        <v>20</v>
      </c>
      <c r="P85" s="4"/>
      <c r="AH85" s="7"/>
    </row>
    <row r="86" spans="1:34">
      <c r="A86" s="12" t="s">
        <v>210</v>
      </c>
      <c r="B86" s="13">
        <v>1</v>
      </c>
      <c r="C86" s="13">
        <v>1</v>
      </c>
      <c r="D86" s="14">
        <v>2283292</v>
      </c>
      <c r="E86" s="14">
        <v>1744350</v>
      </c>
      <c r="F86" s="15" t="s">
        <v>211</v>
      </c>
      <c r="G86" s="18"/>
      <c r="H86" s="18"/>
      <c r="I86" s="18"/>
      <c r="J86" s="12"/>
      <c r="K86" s="12"/>
      <c r="L86" s="12" t="b">
        <f>IF(COUNTIFS(Table83[[#This Row],[Base Table]:[Energy Table]],"y")&gt;0,"y")</f>
        <v>0</v>
      </c>
      <c r="M86" s="16" t="s">
        <v>35</v>
      </c>
      <c r="N86" s="17" t="s">
        <v>212</v>
      </c>
      <c r="O86" s="17" t="s">
        <v>20</v>
      </c>
      <c r="P86" s="4"/>
      <c r="AH86" s="7"/>
    </row>
    <row r="87" spans="1:34">
      <c r="A87" s="12" t="s">
        <v>213</v>
      </c>
      <c r="B87" s="13">
        <v>0.995</v>
      </c>
      <c r="C87" s="13">
        <v>0.999</v>
      </c>
      <c r="D87" s="14">
        <v>2270970</v>
      </c>
      <c r="E87" s="14">
        <v>1742999</v>
      </c>
      <c r="F87" s="15" t="s">
        <v>214</v>
      </c>
      <c r="G87" s="18"/>
      <c r="H87" s="18"/>
      <c r="I87" s="18"/>
      <c r="J87" s="12"/>
      <c r="K87" s="12"/>
      <c r="L87" s="12" t="b">
        <f>IF(COUNTIFS(Table83[[#This Row],[Base Table]:[Energy Table]],"y")&gt;0,"y")</f>
        <v>0</v>
      </c>
      <c r="M87" s="16" t="s">
        <v>215</v>
      </c>
      <c r="N87" s="17" t="s">
        <v>24</v>
      </c>
      <c r="O87" s="17" t="s">
        <v>20</v>
      </c>
      <c r="P87" s="4"/>
      <c r="AH87" s="7"/>
    </row>
    <row r="88" spans="1:34">
      <c r="A88" s="12" t="s">
        <v>216</v>
      </c>
      <c r="B88" s="13">
        <v>0</v>
      </c>
      <c r="C88" s="13">
        <v>0</v>
      </c>
      <c r="D88" s="14">
        <v>152</v>
      </c>
      <c r="E88" s="14">
        <v>315</v>
      </c>
      <c r="F88" s="15" t="s">
        <v>217</v>
      </c>
      <c r="G88" s="18"/>
      <c r="H88" s="18"/>
      <c r="I88" s="18"/>
      <c r="J88" s="12"/>
      <c r="K88" s="12"/>
      <c r="L88" s="12" t="b">
        <f>IF(COUNTIFS(Table83[[#This Row],[Base Table]:[Energy Table]],"y")&gt;0,"y")</f>
        <v>0</v>
      </c>
      <c r="M88" s="16" t="s">
        <v>215</v>
      </c>
      <c r="N88" s="17" t="s">
        <v>24</v>
      </c>
      <c r="O88" s="17" t="s">
        <v>20</v>
      </c>
      <c r="P88" s="4"/>
      <c r="AH88" s="7"/>
    </row>
    <row r="89" spans="1:34">
      <c r="A89" s="12" t="s">
        <v>218</v>
      </c>
      <c r="B89" s="13">
        <v>0.995</v>
      </c>
      <c r="C89" s="13">
        <v>0.999</v>
      </c>
      <c r="D89" s="14">
        <v>2271157</v>
      </c>
      <c r="E89" s="14">
        <v>1743012</v>
      </c>
      <c r="F89" s="15" t="s">
        <v>219</v>
      </c>
      <c r="G89" s="18"/>
      <c r="H89" s="18"/>
      <c r="I89" s="18"/>
      <c r="J89" s="12"/>
      <c r="K89" s="12"/>
      <c r="L89" s="12" t="b">
        <f>IF(COUNTIFS(Table83[[#This Row],[Base Table]:[Energy Table]],"y")&gt;0,"y")</f>
        <v>0</v>
      </c>
      <c r="M89" s="16" t="s">
        <v>220</v>
      </c>
      <c r="N89" s="17" t="s">
        <v>24</v>
      </c>
      <c r="O89" s="17" t="s">
        <v>20</v>
      </c>
      <c r="P89" s="4"/>
      <c r="AH89" s="7"/>
    </row>
    <row r="90" spans="1:34">
      <c r="A90" s="12" t="s">
        <v>221</v>
      </c>
      <c r="B90" s="13">
        <v>0.995</v>
      </c>
      <c r="C90" s="13">
        <v>0.999</v>
      </c>
      <c r="D90" s="14">
        <v>2270969</v>
      </c>
      <c r="E90" s="14">
        <v>1742999</v>
      </c>
      <c r="F90" s="15" t="s">
        <v>222</v>
      </c>
      <c r="G90" s="18"/>
      <c r="H90" s="18"/>
      <c r="I90" s="18"/>
      <c r="J90" s="12"/>
      <c r="K90" s="12"/>
      <c r="L90" s="12" t="b">
        <f>IF(COUNTIFS(Table83[[#This Row],[Base Table]:[Energy Table]],"y")&gt;0,"y")</f>
        <v>0</v>
      </c>
      <c r="M90" s="16" t="s">
        <v>215</v>
      </c>
      <c r="N90" s="17" t="s">
        <v>24</v>
      </c>
      <c r="O90" s="17" t="s">
        <v>20</v>
      </c>
      <c r="P90" s="4"/>
      <c r="AH90" s="7"/>
    </row>
    <row r="91" spans="1:34">
      <c r="A91" s="12" t="s">
        <v>223</v>
      </c>
      <c r="B91" s="13">
        <v>0.995</v>
      </c>
      <c r="C91" s="13">
        <v>0.999</v>
      </c>
      <c r="D91" s="14">
        <v>2271157</v>
      </c>
      <c r="E91" s="14">
        <v>1743012</v>
      </c>
      <c r="F91" s="15" t="s">
        <v>224</v>
      </c>
      <c r="G91" s="18"/>
      <c r="H91" s="18"/>
      <c r="I91" s="18"/>
      <c r="J91" s="12"/>
      <c r="K91" s="12"/>
      <c r="L91" s="12" t="b">
        <f>IF(COUNTIFS(Table83[[#This Row],[Base Table]:[Energy Table]],"y")&gt;0,"y")</f>
        <v>0</v>
      </c>
      <c r="M91" s="16" t="s">
        <v>35</v>
      </c>
      <c r="N91" s="17" t="s">
        <v>24</v>
      </c>
      <c r="O91" s="17" t="s">
        <v>20</v>
      </c>
      <c r="P91" s="4"/>
      <c r="AH91" s="7"/>
    </row>
    <row r="92" spans="1:34">
      <c r="A92" s="12" t="s">
        <v>225</v>
      </c>
      <c r="B92" s="13">
        <v>1</v>
      </c>
      <c r="C92" s="13">
        <v>1</v>
      </c>
      <c r="D92" s="14">
        <v>2283292</v>
      </c>
      <c r="E92" s="14">
        <v>1744350</v>
      </c>
      <c r="F92" s="15" t="s">
        <v>226</v>
      </c>
      <c r="G92" s="18"/>
      <c r="H92" s="18"/>
      <c r="I92" s="18"/>
      <c r="J92" s="12"/>
      <c r="K92" s="12"/>
      <c r="L92" s="12" t="b">
        <f>IF(COUNTIFS(Table83[[#This Row],[Base Table]:[Energy Table]],"y")&gt;0,"y")</f>
        <v>0</v>
      </c>
      <c r="M92" s="16" t="s">
        <v>199</v>
      </c>
      <c r="N92" s="17" t="s">
        <v>19</v>
      </c>
      <c r="O92" s="17" t="s">
        <v>20</v>
      </c>
      <c r="P92" s="4"/>
      <c r="AH92" s="7"/>
    </row>
    <row r="93" spans="1:34">
      <c r="A93" s="12" t="s">
        <v>227</v>
      </c>
      <c r="B93" s="13">
        <v>1</v>
      </c>
      <c r="C93" s="13">
        <v>1</v>
      </c>
      <c r="D93" s="14">
        <v>2283282</v>
      </c>
      <c r="E93" s="14">
        <v>1744349</v>
      </c>
      <c r="F93" s="15" t="s">
        <v>228</v>
      </c>
      <c r="G93" s="18"/>
      <c r="H93" s="18"/>
      <c r="I93" s="18"/>
      <c r="J93" s="12"/>
      <c r="K93" s="12"/>
      <c r="L93" s="12" t="b">
        <f>IF(COUNTIFS(Table83[[#This Row],[Base Table]:[Energy Table]],"y")&gt;0,"y")</f>
        <v>0</v>
      </c>
      <c r="M93" s="16" t="s">
        <v>40</v>
      </c>
      <c r="N93" s="17" t="s">
        <v>19</v>
      </c>
      <c r="O93" s="17" t="s">
        <v>20</v>
      </c>
      <c r="P93" s="4"/>
      <c r="AH93" s="7"/>
    </row>
    <row r="94" spans="1:34">
      <c r="A94" s="12" t="s">
        <v>229</v>
      </c>
      <c r="B94" s="13">
        <v>0.19400000000000001</v>
      </c>
      <c r="C94" s="13">
        <v>0.17599999999999999</v>
      </c>
      <c r="D94" s="14">
        <v>443636</v>
      </c>
      <c r="E94" s="14">
        <v>307617</v>
      </c>
      <c r="F94" s="15" t="s">
        <v>230</v>
      </c>
      <c r="G94" s="18"/>
      <c r="H94" s="18"/>
      <c r="I94" s="18"/>
      <c r="J94" s="12"/>
      <c r="K94" s="12"/>
      <c r="L94" s="12" t="b">
        <f>IF(COUNTIFS(Table83[[#This Row],[Base Table]:[Energy Table]],"y")&gt;0,"y")</f>
        <v>0</v>
      </c>
      <c r="M94" s="16" t="s">
        <v>48</v>
      </c>
      <c r="N94" s="17" t="s">
        <v>231</v>
      </c>
      <c r="O94" s="17" t="s">
        <v>93</v>
      </c>
      <c r="P94" s="4"/>
      <c r="AH94" s="7"/>
    </row>
    <row r="95" spans="1:34" ht="26.1">
      <c r="A95" s="12" t="s">
        <v>232</v>
      </c>
      <c r="B95" s="13">
        <v>0.19400000000000001</v>
      </c>
      <c r="C95" s="13">
        <v>0.17599999999999999</v>
      </c>
      <c r="D95" s="14">
        <v>443636</v>
      </c>
      <c r="E95" s="14">
        <v>307617</v>
      </c>
      <c r="F95" s="15" t="s">
        <v>233</v>
      </c>
      <c r="G95" s="18"/>
      <c r="H95" s="18"/>
      <c r="I95" s="18"/>
      <c r="J95" s="12"/>
      <c r="K95" s="12"/>
      <c r="L95" s="12" t="b">
        <f>IF(COUNTIFS(Table83[[#This Row],[Base Table]:[Energy Table]],"y")&gt;0,"y")</f>
        <v>0</v>
      </c>
      <c r="M95" s="16" t="s">
        <v>48</v>
      </c>
      <c r="N95" s="17" t="s">
        <v>231</v>
      </c>
      <c r="O95" s="17" t="s">
        <v>93</v>
      </c>
      <c r="P95" s="4"/>
      <c r="AH95" s="7"/>
    </row>
    <row r="96" spans="1:34">
      <c r="A96" s="12" t="s">
        <v>234</v>
      </c>
      <c r="B96" s="13">
        <v>0.19400000000000001</v>
      </c>
      <c r="C96" s="13">
        <v>0.17599999999999999</v>
      </c>
      <c r="D96" s="14">
        <v>443636</v>
      </c>
      <c r="E96" s="14">
        <v>307617</v>
      </c>
      <c r="F96" s="15" t="s">
        <v>235</v>
      </c>
      <c r="G96" s="18"/>
      <c r="H96" s="18"/>
      <c r="I96" s="18"/>
      <c r="J96" s="12"/>
      <c r="K96" s="12"/>
      <c r="L96" s="12" t="b">
        <f>IF(COUNTIFS(Table83[[#This Row],[Base Table]:[Energy Table]],"y")&gt;0,"y")</f>
        <v>0</v>
      </c>
      <c r="M96" s="16" t="s">
        <v>48</v>
      </c>
      <c r="N96" s="17" t="s">
        <v>231</v>
      </c>
      <c r="O96" s="17" t="s">
        <v>93</v>
      </c>
      <c r="P96" s="4"/>
      <c r="AH96" s="7"/>
    </row>
    <row r="97" spans="1:34">
      <c r="A97" s="12" t="s">
        <v>236</v>
      </c>
      <c r="B97" s="13">
        <v>0.19400000000000001</v>
      </c>
      <c r="C97" s="13">
        <v>0.17599999999999999</v>
      </c>
      <c r="D97" s="14">
        <v>443636</v>
      </c>
      <c r="E97" s="14">
        <v>307617</v>
      </c>
      <c r="F97" s="15" t="s">
        <v>237</v>
      </c>
      <c r="G97" s="18"/>
      <c r="H97" s="18"/>
      <c r="I97" s="18"/>
      <c r="J97" s="12"/>
      <c r="K97" s="12"/>
      <c r="L97" s="12" t="b">
        <f>IF(COUNTIFS(Table83[[#This Row],[Base Table]:[Energy Table]],"y")&gt;0,"y")</f>
        <v>0</v>
      </c>
      <c r="M97" s="16" t="s">
        <v>48</v>
      </c>
      <c r="N97" s="17" t="s">
        <v>231</v>
      </c>
      <c r="O97" s="17" t="s">
        <v>93</v>
      </c>
      <c r="P97" s="4"/>
      <c r="AH97" s="7"/>
    </row>
    <row r="98" spans="1:34">
      <c r="A98" s="12" t="s">
        <v>238</v>
      </c>
      <c r="B98" s="13">
        <v>0.19400000000000001</v>
      </c>
      <c r="C98" s="13">
        <v>0.17599999999999999</v>
      </c>
      <c r="D98" s="14">
        <v>443636</v>
      </c>
      <c r="E98" s="14">
        <v>307617</v>
      </c>
      <c r="F98" s="15" t="s">
        <v>239</v>
      </c>
      <c r="G98" s="18"/>
      <c r="H98" s="18"/>
      <c r="I98" s="18"/>
      <c r="J98" s="12"/>
      <c r="K98" s="12"/>
      <c r="L98" s="12" t="b">
        <f>IF(COUNTIFS(Table83[[#This Row],[Base Table]:[Energy Table]],"y")&gt;0,"y")</f>
        <v>0</v>
      </c>
      <c r="M98" s="16" t="s">
        <v>48</v>
      </c>
      <c r="N98" s="17" t="s">
        <v>231</v>
      </c>
      <c r="O98" s="17" t="s">
        <v>93</v>
      </c>
      <c r="P98" s="4"/>
      <c r="AH98" s="7"/>
    </row>
    <row r="99" spans="1:34">
      <c r="A99" s="12" t="s">
        <v>240</v>
      </c>
      <c r="B99" s="13">
        <v>0.19400000000000001</v>
      </c>
      <c r="C99" s="13">
        <v>0.17599999999999999</v>
      </c>
      <c r="D99" s="14">
        <v>443636</v>
      </c>
      <c r="E99" s="14">
        <v>307617</v>
      </c>
      <c r="F99" s="15" t="s">
        <v>241</v>
      </c>
      <c r="G99" s="18"/>
      <c r="H99" s="18"/>
      <c r="I99" s="18"/>
      <c r="J99" s="12"/>
      <c r="K99" s="12"/>
      <c r="L99" s="12" t="b">
        <f>IF(COUNTIFS(Table83[[#This Row],[Base Table]:[Energy Table]],"y")&gt;0,"y")</f>
        <v>0</v>
      </c>
      <c r="M99" s="16" t="s">
        <v>48</v>
      </c>
      <c r="N99" s="17" t="s">
        <v>231</v>
      </c>
      <c r="O99" s="17" t="s">
        <v>93</v>
      </c>
      <c r="P99" s="4"/>
      <c r="AH99" s="7"/>
    </row>
    <row r="100" spans="1:34">
      <c r="A100" s="12" t="s">
        <v>242</v>
      </c>
      <c r="B100" s="13">
        <v>0.19400000000000001</v>
      </c>
      <c r="C100" s="13">
        <v>0.17599999999999999</v>
      </c>
      <c r="D100" s="14">
        <v>443636</v>
      </c>
      <c r="E100" s="14">
        <v>307617</v>
      </c>
      <c r="F100" s="15" t="s">
        <v>243</v>
      </c>
      <c r="G100" s="18"/>
      <c r="H100" s="18"/>
      <c r="I100" s="18"/>
      <c r="J100" s="12"/>
      <c r="K100" s="12"/>
      <c r="L100" s="12" t="b">
        <f>IF(COUNTIFS(Table83[[#This Row],[Base Table]:[Energy Table]],"y")&gt;0,"y")</f>
        <v>0</v>
      </c>
      <c r="M100" s="16" t="s">
        <v>48</v>
      </c>
      <c r="N100" s="17" t="s">
        <v>231</v>
      </c>
      <c r="O100" s="17" t="s">
        <v>93</v>
      </c>
      <c r="P100" s="4"/>
      <c r="AH100" s="7"/>
    </row>
    <row r="101" spans="1:34">
      <c r="A101" s="12" t="s">
        <v>244</v>
      </c>
      <c r="B101" s="13">
        <v>0.19400000000000001</v>
      </c>
      <c r="C101" s="13">
        <v>0.17599999999999999</v>
      </c>
      <c r="D101" s="14">
        <v>443636</v>
      </c>
      <c r="E101" s="14">
        <v>307617</v>
      </c>
      <c r="F101" s="15" t="s">
        <v>245</v>
      </c>
      <c r="G101" s="18"/>
      <c r="H101" s="18"/>
      <c r="I101" s="18"/>
      <c r="J101" s="12"/>
      <c r="K101" s="12"/>
      <c r="L101" s="12" t="b">
        <f>IF(COUNTIFS(Table83[[#This Row],[Base Table]:[Energy Table]],"y")&gt;0,"y")</f>
        <v>0</v>
      </c>
      <c r="M101" s="16" t="s">
        <v>48</v>
      </c>
      <c r="N101" s="17" t="s">
        <v>231</v>
      </c>
      <c r="O101" s="17" t="s">
        <v>93</v>
      </c>
      <c r="P101" s="4"/>
      <c r="AH101" s="7"/>
    </row>
    <row r="102" spans="1:34">
      <c r="A102" s="12" t="s">
        <v>246</v>
      </c>
      <c r="B102" s="13">
        <v>0.19400000000000001</v>
      </c>
      <c r="C102" s="13">
        <v>0.17599999999999999</v>
      </c>
      <c r="D102" s="14">
        <v>443636</v>
      </c>
      <c r="E102" s="14">
        <v>307617</v>
      </c>
      <c r="F102" s="15" t="s">
        <v>247</v>
      </c>
      <c r="G102" s="18"/>
      <c r="H102" s="18"/>
      <c r="I102" s="18"/>
      <c r="J102" s="12"/>
      <c r="K102" s="12"/>
      <c r="L102" s="12" t="b">
        <f>IF(COUNTIFS(Table83[[#This Row],[Base Table]:[Energy Table]],"y")&gt;0,"y")</f>
        <v>0</v>
      </c>
      <c r="M102" s="16" t="s">
        <v>48</v>
      </c>
      <c r="N102" s="17" t="s">
        <v>53</v>
      </c>
      <c r="O102" s="17" t="s">
        <v>93</v>
      </c>
      <c r="P102" s="4"/>
      <c r="AH102" s="7"/>
    </row>
    <row r="103" spans="1:34">
      <c r="A103" s="12" t="s">
        <v>248</v>
      </c>
      <c r="B103" s="13">
        <v>0.19400000000000001</v>
      </c>
      <c r="C103" s="13">
        <v>0.17599999999999999</v>
      </c>
      <c r="D103" s="14">
        <v>443636</v>
      </c>
      <c r="E103" s="14">
        <v>307617</v>
      </c>
      <c r="F103" s="15" t="s">
        <v>249</v>
      </c>
      <c r="G103" s="18"/>
      <c r="H103" s="18"/>
      <c r="I103" s="18"/>
      <c r="J103" s="12"/>
      <c r="K103" s="12"/>
      <c r="L103" s="12" t="b">
        <f>IF(COUNTIFS(Table83[[#This Row],[Base Table]:[Energy Table]],"y")&gt;0,"y")</f>
        <v>0</v>
      </c>
      <c r="M103" s="16" t="s">
        <v>48</v>
      </c>
      <c r="N103" s="17" t="s">
        <v>231</v>
      </c>
      <c r="O103" s="17" t="s">
        <v>93</v>
      </c>
      <c r="P103" s="4"/>
      <c r="AH103" s="7"/>
    </row>
    <row r="104" spans="1:34">
      <c r="A104" s="12" t="s">
        <v>250</v>
      </c>
      <c r="B104" s="13">
        <v>0.19400000000000001</v>
      </c>
      <c r="C104" s="13">
        <v>0.17599999999999999</v>
      </c>
      <c r="D104" s="14">
        <v>443636</v>
      </c>
      <c r="E104" s="14">
        <v>307617</v>
      </c>
      <c r="F104" s="15" t="s">
        <v>251</v>
      </c>
      <c r="G104" s="18"/>
      <c r="H104" s="18"/>
      <c r="I104" s="18"/>
      <c r="J104" s="12"/>
      <c r="K104" s="12"/>
      <c r="L104" s="12" t="b">
        <f>IF(COUNTIFS(Table83[[#This Row],[Base Table]:[Energy Table]],"y")&gt;0,"y")</f>
        <v>0</v>
      </c>
      <c r="M104" s="16" t="s">
        <v>48</v>
      </c>
      <c r="N104" s="17" t="s">
        <v>231</v>
      </c>
      <c r="O104" s="17" t="s">
        <v>93</v>
      </c>
      <c r="P104" s="4"/>
      <c r="AH104" s="7"/>
    </row>
    <row r="105" spans="1:34">
      <c r="A105" s="12" t="s">
        <v>252</v>
      </c>
      <c r="B105" s="13">
        <v>0.19400000000000001</v>
      </c>
      <c r="C105" s="13">
        <v>0.17599999999999999</v>
      </c>
      <c r="D105" s="14">
        <v>443636</v>
      </c>
      <c r="E105" s="14">
        <v>307617</v>
      </c>
      <c r="F105" s="15" t="s">
        <v>253</v>
      </c>
      <c r="G105" s="18"/>
      <c r="H105" s="18"/>
      <c r="I105" s="18"/>
      <c r="J105" s="12"/>
      <c r="K105" s="12"/>
      <c r="L105" s="12" t="b">
        <f>IF(COUNTIFS(Table83[[#This Row],[Base Table]:[Energy Table]],"y")&gt;0,"y")</f>
        <v>0</v>
      </c>
      <c r="M105" s="16" t="s">
        <v>48</v>
      </c>
      <c r="N105" s="17" t="s">
        <v>231</v>
      </c>
      <c r="O105" s="17" t="s">
        <v>93</v>
      </c>
      <c r="P105" s="4"/>
      <c r="AH105" s="7"/>
    </row>
    <row r="106" spans="1:34">
      <c r="A106" s="12" t="s">
        <v>254</v>
      </c>
      <c r="B106" s="13">
        <v>0.19400000000000001</v>
      </c>
      <c r="C106" s="13">
        <v>0.17599999999999999</v>
      </c>
      <c r="D106" s="14">
        <v>443636</v>
      </c>
      <c r="E106" s="14">
        <v>307617</v>
      </c>
      <c r="F106" s="15" t="s">
        <v>255</v>
      </c>
      <c r="G106" s="18"/>
      <c r="H106" s="18"/>
      <c r="I106" s="18"/>
      <c r="J106" s="12"/>
      <c r="K106" s="12"/>
      <c r="L106" s="12" t="b">
        <f>IF(COUNTIFS(Table83[[#This Row],[Base Table]:[Energy Table]],"y")&gt;0,"y")</f>
        <v>0</v>
      </c>
      <c r="M106" s="16" t="s">
        <v>48</v>
      </c>
      <c r="N106" s="17" t="s">
        <v>231</v>
      </c>
      <c r="O106" s="17" t="s">
        <v>93</v>
      </c>
      <c r="P106" s="4"/>
      <c r="AH106" s="7"/>
    </row>
    <row r="107" spans="1:34">
      <c r="A107" s="12" t="s">
        <v>256</v>
      </c>
      <c r="B107" s="13">
        <v>0</v>
      </c>
      <c r="C107" s="13">
        <v>0</v>
      </c>
      <c r="D107" s="14">
        <v>35</v>
      </c>
      <c r="E107" s="14">
        <v>1</v>
      </c>
      <c r="F107" s="15" t="s">
        <v>257</v>
      </c>
      <c r="G107" s="18"/>
      <c r="H107" s="18"/>
      <c r="I107" s="18"/>
      <c r="J107" s="12"/>
      <c r="K107" s="12"/>
      <c r="L107" s="12" t="b">
        <f>IF(COUNTIFS(Table83[[#This Row],[Base Table]:[Energy Table]],"y")&gt;0,"y")</f>
        <v>0</v>
      </c>
      <c r="M107" s="16" t="s">
        <v>48</v>
      </c>
      <c r="N107" s="17" t="s">
        <v>231</v>
      </c>
      <c r="O107" s="17" t="s">
        <v>93</v>
      </c>
      <c r="P107" s="4"/>
      <c r="AH107" s="7"/>
    </row>
    <row r="108" spans="1:34">
      <c r="A108" s="12" t="s">
        <v>258</v>
      </c>
      <c r="B108" s="13">
        <v>0.28999999999999998</v>
      </c>
      <c r="C108" s="13">
        <v>0.29099999999999998</v>
      </c>
      <c r="D108" s="14">
        <v>661265</v>
      </c>
      <c r="E108" s="14">
        <v>508324</v>
      </c>
      <c r="F108" s="15" t="s">
        <v>259</v>
      </c>
      <c r="G108" s="18"/>
      <c r="H108" s="18"/>
      <c r="I108" s="18"/>
      <c r="J108" s="12"/>
      <c r="K108" s="12"/>
      <c r="L108" s="12" t="b">
        <f>IF(COUNTIFS(Table83[[#This Row],[Base Table]:[Energy Table]],"y")&gt;0,"y")</f>
        <v>0</v>
      </c>
      <c r="M108" s="16" t="s">
        <v>48</v>
      </c>
      <c r="N108" s="17" t="s">
        <v>49</v>
      </c>
      <c r="O108" s="17" t="s">
        <v>20</v>
      </c>
      <c r="P108" s="4"/>
      <c r="AH108" s="7"/>
    </row>
    <row r="109" spans="1:34">
      <c r="A109" s="12" t="s">
        <v>260</v>
      </c>
      <c r="B109" s="13">
        <v>0.28999999999999998</v>
      </c>
      <c r="C109" s="13">
        <v>0.29099999999999998</v>
      </c>
      <c r="D109" s="14">
        <v>661265</v>
      </c>
      <c r="E109" s="14">
        <v>508324</v>
      </c>
      <c r="F109" s="15" t="s">
        <v>261</v>
      </c>
      <c r="G109" s="18"/>
      <c r="H109" s="18"/>
      <c r="I109" s="18"/>
      <c r="J109" s="12"/>
      <c r="K109" s="12"/>
      <c r="L109" s="12" t="b">
        <f>IF(COUNTIFS(Table83[[#This Row],[Base Table]:[Energy Table]],"y")&gt;0,"y")</f>
        <v>0</v>
      </c>
      <c r="M109" s="16" t="s">
        <v>48</v>
      </c>
      <c r="N109" s="17" t="s">
        <v>49</v>
      </c>
      <c r="O109" s="17" t="s">
        <v>20</v>
      </c>
      <c r="P109" s="4"/>
      <c r="AH109" s="7"/>
    </row>
    <row r="110" spans="1:34">
      <c r="A110" s="12" t="s">
        <v>262</v>
      </c>
      <c r="B110" s="13">
        <v>0.28999999999999998</v>
      </c>
      <c r="C110" s="13">
        <v>0.29099999999999998</v>
      </c>
      <c r="D110" s="14">
        <v>661265</v>
      </c>
      <c r="E110" s="14">
        <v>508324</v>
      </c>
      <c r="F110" s="15" t="s">
        <v>263</v>
      </c>
      <c r="G110" s="18"/>
      <c r="H110" s="18"/>
      <c r="I110" s="18"/>
      <c r="J110" s="12"/>
      <c r="K110" s="12"/>
      <c r="L110" s="12" t="b">
        <f>IF(COUNTIFS(Table83[[#This Row],[Base Table]:[Energy Table]],"y")&gt;0,"y")</f>
        <v>0</v>
      </c>
      <c r="M110" s="16" t="s">
        <v>48</v>
      </c>
      <c r="N110" s="17" t="s">
        <v>49</v>
      </c>
      <c r="O110" s="17" t="s">
        <v>20</v>
      </c>
      <c r="P110" s="4"/>
      <c r="AH110" s="7"/>
    </row>
    <row r="111" spans="1:34">
      <c r="A111" s="12" t="s">
        <v>264</v>
      </c>
      <c r="B111" s="13">
        <v>0.28999999999999998</v>
      </c>
      <c r="C111" s="13">
        <v>0.29099999999999998</v>
      </c>
      <c r="D111" s="14">
        <v>661265</v>
      </c>
      <c r="E111" s="14">
        <v>508324</v>
      </c>
      <c r="F111" s="15" t="s">
        <v>265</v>
      </c>
      <c r="G111" s="18"/>
      <c r="H111" s="18"/>
      <c r="I111" s="18"/>
      <c r="J111" s="12"/>
      <c r="K111" s="12"/>
      <c r="L111" s="12" t="b">
        <f>IF(COUNTIFS(Table83[[#This Row],[Base Table]:[Energy Table]],"y")&gt;0,"y")</f>
        <v>0</v>
      </c>
      <c r="M111" s="16" t="s">
        <v>48</v>
      </c>
      <c r="N111" s="17" t="s">
        <v>49</v>
      </c>
      <c r="O111" s="17" t="s">
        <v>20</v>
      </c>
      <c r="P111" s="4"/>
      <c r="AH111" s="7"/>
    </row>
    <row r="112" spans="1:34">
      <c r="A112" s="12" t="s">
        <v>266</v>
      </c>
      <c r="B112" s="13">
        <v>0.55800000000000005</v>
      </c>
      <c r="C112" s="13">
        <v>0.54</v>
      </c>
      <c r="D112" s="14">
        <v>1274939</v>
      </c>
      <c r="E112" s="14">
        <v>941992</v>
      </c>
      <c r="F112" s="15" t="s">
        <v>267</v>
      </c>
      <c r="G112" s="18"/>
      <c r="H112" s="18"/>
      <c r="I112" s="18"/>
      <c r="J112" s="12"/>
      <c r="K112" s="12"/>
      <c r="L112" s="12" t="b">
        <f>IF(COUNTIFS(Table83[[#This Row],[Base Table]:[Energy Table]],"y")&gt;0,"y")</f>
        <v>0</v>
      </c>
      <c r="M112" s="16" t="s">
        <v>35</v>
      </c>
      <c r="N112" s="17" t="s">
        <v>49</v>
      </c>
      <c r="O112" s="17" t="s">
        <v>20</v>
      </c>
      <c r="P112" s="4"/>
      <c r="AH112" s="7"/>
    </row>
    <row r="113" spans="1:34">
      <c r="A113" s="12" t="s">
        <v>268</v>
      </c>
      <c r="B113" s="13">
        <v>0.55800000000000005</v>
      </c>
      <c r="C113" s="13">
        <v>0.54</v>
      </c>
      <c r="D113" s="14">
        <v>1274939</v>
      </c>
      <c r="E113" s="14">
        <v>941992</v>
      </c>
      <c r="F113" s="15" t="s">
        <v>269</v>
      </c>
      <c r="G113" s="18"/>
      <c r="H113" s="18"/>
      <c r="I113" s="18"/>
      <c r="J113" s="12"/>
      <c r="K113" s="12"/>
      <c r="L113" s="12" t="b">
        <f>IF(COUNTIFS(Table83[[#This Row],[Base Table]:[Energy Table]],"y")&gt;0,"y")</f>
        <v>0</v>
      </c>
      <c r="M113" s="16" t="s">
        <v>35</v>
      </c>
      <c r="N113" s="17" t="s">
        <v>49</v>
      </c>
      <c r="O113" s="17" t="s">
        <v>20</v>
      </c>
      <c r="P113" s="4"/>
      <c r="AH113" s="7"/>
    </row>
    <row r="114" spans="1:34">
      <c r="A114" s="12" t="s">
        <v>270</v>
      </c>
      <c r="B114" s="13">
        <v>0.55800000000000005</v>
      </c>
      <c r="C114" s="13">
        <v>0.54</v>
      </c>
      <c r="D114" s="14">
        <v>1274939</v>
      </c>
      <c r="E114" s="14">
        <v>941992</v>
      </c>
      <c r="F114" s="15" t="s">
        <v>271</v>
      </c>
      <c r="G114" s="18"/>
      <c r="H114" s="18"/>
      <c r="I114" s="18"/>
      <c r="J114" s="12"/>
      <c r="K114" s="12"/>
      <c r="L114" s="12" t="b">
        <f>IF(COUNTIFS(Table83[[#This Row],[Base Table]:[Energy Table]],"y")&gt;0,"y")</f>
        <v>0</v>
      </c>
      <c r="M114" s="16" t="s">
        <v>35</v>
      </c>
      <c r="N114" s="17" t="s">
        <v>49</v>
      </c>
      <c r="O114" s="17" t="s">
        <v>20</v>
      </c>
      <c r="P114" s="4"/>
      <c r="AH114" s="7"/>
    </row>
    <row r="115" spans="1:34">
      <c r="A115" s="12" t="s">
        <v>272</v>
      </c>
      <c r="B115" s="13">
        <v>0.55800000000000005</v>
      </c>
      <c r="C115" s="13">
        <v>0.54</v>
      </c>
      <c r="D115" s="14">
        <v>1274939</v>
      </c>
      <c r="E115" s="14">
        <v>941992</v>
      </c>
      <c r="F115" s="15" t="s">
        <v>273</v>
      </c>
      <c r="G115" s="18"/>
      <c r="H115" s="18"/>
      <c r="I115" s="18"/>
      <c r="J115" s="12"/>
      <c r="K115" s="12"/>
      <c r="L115" s="12" t="b">
        <f>IF(COUNTIFS(Table83[[#This Row],[Base Table]:[Energy Table]],"y")&gt;0,"y")</f>
        <v>0</v>
      </c>
      <c r="M115" s="16" t="s">
        <v>35</v>
      </c>
      <c r="N115" s="17" t="s">
        <v>49</v>
      </c>
      <c r="O115" s="17" t="s">
        <v>20</v>
      </c>
      <c r="P115" s="4"/>
      <c r="AH115" s="7"/>
    </row>
    <row r="116" spans="1:34">
      <c r="A116" s="12" t="s">
        <v>274</v>
      </c>
      <c r="B116" s="13">
        <v>0.55800000000000005</v>
      </c>
      <c r="C116" s="13">
        <v>0.54</v>
      </c>
      <c r="D116" s="14">
        <v>1274939</v>
      </c>
      <c r="E116" s="14">
        <v>941992</v>
      </c>
      <c r="F116" s="15" t="s">
        <v>275</v>
      </c>
      <c r="G116" s="18"/>
      <c r="H116" s="18"/>
      <c r="I116" s="18"/>
      <c r="J116" s="12"/>
      <c r="K116" s="12"/>
      <c r="L116" s="12" t="b">
        <f>IF(COUNTIFS(Table83[[#This Row],[Base Table]:[Energy Table]],"y")&gt;0,"y")</f>
        <v>0</v>
      </c>
      <c r="M116" s="16" t="s">
        <v>35</v>
      </c>
      <c r="N116" s="17" t="s">
        <v>49</v>
      </c>
      <c r="O116" s="17" t="s">
        <v>20</v>
      </c>
      <c r="P116" s="4"/>
      <c r="AH116" s="7"/>
    </row>
    <row r="117" spans="1:34">
      <c r="A117" s="12" t="s">
        <v>276</v>
      </c>
      <c r="B117" s="13">
        <v>0.55800000000000005</v>
      </c>
      <c r="C117" s="13">
        <v>0.54</v>
      </c>
      <c r="D117" s="14">
        <v>1274939</v>
      </c>
      <c r="E117" s="14">
        <v>941992</v>
      </c>
      <c r="F117" s="15" t="s">
        <v>277</v>
      </c>
      <c r="G117" s="18"/>
      <c r="H117" s="18"/>
      <c r="I117" s="18"/>
      <c r="J117" s="12"/>
      <c r="K117" s="12"/>
      <c r="L117" s="12" t="b">
        <f>IF(COUNTIFS(Table83[[#This Row],[Base Table]:[Energy Table]],"y")&gt;0,"y")</f>
        <v>0</v>
      </c>
      <c r="M117" s="16" t="s">
        <v>35</v>
      </c>
      <c r="N117" s="17" t="s">
        <v>49</v>
      </c>
      <c r="O117" s="17" t="s">
        <v>20</v>
      </c>
      <c r="P117" s="4"/>
      <c r="AH117" s="7"/>
    </row>
    <row r="118" spans="1:34">
      <c r="A118" s="12" t="s">
        <v>278</v>
      </c>
      <c r="B118" s="13">
        <v>0.55800000000000005</v>
      </c>
      <c r="C118" s="13">
        <v>0.54</v>
      </c>
      <c r="D118" s="14">
        <v>1274939</v>
      </c>
      <c r="E118" s="14">
        <v>941992</v>
      </c>
      <c r="F118" s="15" t="s">
        <v>279</v>
      </c>
      <c r="G118" s="18"/>
      <c r="H118" s="18"/>
      <c r="I118" s="18"/>
      <c r="J118" s="12"/>
      <c r="K118" s="12"/>
      <c r="L118" s="12" t="b">
        <f>IF(COUNTIFS(Table83[[#This Row],[Base Table]:[Energy Table]],"y")&gt;0,"y")</f>
        <v>0</v>
      </c>
      <c r="M118" s="16" t="s">
        <v>35</v>
      </c>
      <c r="N118" s="17" t="s">
        <v>49</v>
      </c>
      <c r="O118" s="17" t="s">
        <v>20</v>
      </c>
      <c r="P118" s="4"/>
      <c r="AH118" s="7"/>
    </row>
    <row r="119" spans="1:34">
      <c r="A119" s="12" t="s">
        <v>280</v>
      </c>
      <c r="B119" s="13">
        <v>0.55800000000000005</v>
      </c>
      <c r="C119" s="13">
        <v>0.54</v>
      </c>
      <c r="D119" s="14">
        <v>1274939</v>
      </c>
      <c r="E119" s="14">
        <v>941992</v>
      </c>
      <c r="F119" s="15" t="s">
        <v>281</v>
      </c>
      <c r="G119" s="18"/>
      <c r="H119" s="18"/>
      <c r="I119" s="18"/>
      <c r="J119" s="12"/>
      <c r="K119" s="12"/>
      <c r="L119" s="12" t="b">
        <f>IF(COUNTIFS(Table83[[#This Row],[Base Table]:[Energy Table]],"y")&gt;0,"y")</f>
        <v>0</v>
      </c>
      <c r="M119" s="16" t="s">
        <v>35</v>
      </c>
      <c r="N119" s="17" t="s">
        <v>49</v>
      </c>
      <c r="O119" s="17" t="s">
        <v>20</v>
      </c>
      <c r="P119" s="4"/>
      <c r="AH119" s="7"/>
    </row>
    <row r="120" spans="1:34" ht="26.1">
      <c r="A120" s="12" t="s">
        <v>282</v>
      </c>
      <c r="B120" s="13">
        <v>0.55800000000000005</v>
      </c>
      <c r="C120" s="13">
        <v>0.54</v>
      </c>
      <c r="D120" s="14">
        <v>1274939</v>
      </c>
      <c r="E120" s="14">
        <v>941992</v>
      </c>
      <c r="F120" s="15" t="s">
        <v>283</v>
      </c>
      <c r="G120" s="18"/>
      <c r="H120" s="18"/>
      <c r="I120" s="18"/>
      <c r="J120" s="12"/>
      <c r="K120" s="12"/>
      <c r="L120" s="12" t="b">
        <f>IF(COUNTIFS(Table83[[#This Row],[Base Table]:[Energy Table]],"y")&gt;0,"y")</f>
        <v>0</v>
      </c>
      <c r="M120" s="16" t="s">
        <v>35</v>
      </c>
      <c r="N120" s="17" t="s">
        <v>49</v>
      </c>
      <c r="O120" s="17" t="s">
        <v>20</v>
      </c>
      <c r="P120" s="4"/>
      <c r="AH120" s="7"/>
    </row>
    <row r="121" spans="1:34" ht="26.1">
      <c r="A121" s="12" t="s">
        <v>284</v>
      </c>
      <c r="B121" s="13">
        <v>1</v>
      </c>
      <c r="C121" s="13">
        <v>1</v>
      </c>
      <c r="D121" s="14">
        <v>2283292</v>
      </c>
      <c r="E121" s="14">
        <v>1744350</v>
      </c>
      <c r="F121" s="15" t="s">
        <v>285</v>
      </c>
      <c r="G121" s="18"/>
      <c r="H121" s="18"/>
      <c r="I121" s="18"/>
      <c r="J121" s="12"/>
      <c r="K121" s="12"/>
      <c r="L121" s="12" t="b">
        <f>IF(COUNTIFS(Table83[[#This Row],[Base Table]:[Energy Table]],"y")&gt;0,"y")</f>
        <v>0</v>
      </c>
      <c r="M121" s="16" t="s">
        <v>35</v>
      </c>
      <c r="N121" s="17" t="s">
        <v>19</v>
      </c>
      <c r="O121" s="17" t="s">
        <v>20</v>
      </c>
      <c r="P121" s="4"/>
      <c r="AH121" s="7"/>
    </row>
    <row r="122" spans="1:34" ht="26.1">
      <c r="A122" s="12" t="s">
        <v>286</v>
      </c>
      <c r="B122" s="13">
        <v>0.55800000000000005</v>
      </c>
      <c r="C122" s="13">
        <v>0.54</v>
      </c>
      <c r="D122" s="14">
        <v>1274939</v>
      </c>
      <c r="E122" s="14">
        <v>941992</v>
      </c>
      <c r="F122" s="15" t="s">
        <v>287</v>
      </c>
      <c r="G122" s="18"/>
      <c r="H122" s="18"/>
      <c r="I122" s="18"/>
      <c r="J122" s="12"/>
      <c r="K122" s="12"/>
      <c r="L122" s="12" t="b">
        <f>IF(COUNTIFS(Table83[[#This Row],[Base Table]:[Energy Table]],"y")&gt;0,"y")</f>
        <v>0</v>
      </c>
      <c r="M122" s="16" t="s">
        <v>178</v>
      </c>
      <c r="N122" s="17" t="s">
        <v>49</v>
      </c>
      <c r="O122" s="17" t="s">
        <v>20</v>
      </c>
      <c r="P122" s="4"/>
      <c r="AH122" s="7"/>
    </row>
    <row r="123" spans="1:34" s="8" customFormat="1" ht="26.1">
      <c r="A123" s="12" t="s">
        <v>288</v>
      </c>
      <c r="B123" s="13">
        <v>0.55800000000000005</v>
      </c>
      <c r="C123" s="13">
        <v>0.54</v>
      </c>
      <c r="D123" s="14">
        <v>1274939</v>
      </c>
      <c r="E123" s="14">
        <v>941992</v>
      </c>
      <c r="F123" s="15" t="s">
        <v>289</v>
      </c>
      <c r="G123" s="18"/>
      <c r="H123" s="18"/>
      <c r="I123" s="18"/>
      <c r="J123" s="12"/>
      <c r="K123" s="12"/>
      <c r="L123" s="12" t="b">
        <f>IF(COUNTIFS(Table83[[#This Row],[Base Table]:[Energy Table]],"y")&gt;0,"y")</f>
        <v>0</v>
      </c>
      <c r="M123" s="16" t="s">
        <v>35</v>
      </c>
      <c r="N123" s="17" t="s">
        <v>49</v>
      </c>
      <c r="O123" s="17" t="s">
        <v>20</v>
      </c>
      <c r="AH123" s="7"/>
    </row>
    <row r="124" spans="1:34" ht="26.1">
      <c r="A124" s="12" t="s">
        <v>290</v>
      </c>
      <c r="B124" s="13">
        <v>0.55800000000000005</v>
      </c>
      <c r="C124" s="13">
        <v>0.54</v>
      </c>
      <c r="D124" s="14">
        <v>1274939</v>
      </c>
      <c r="E124" s="14">
        <v>941992</v>
      </c>
      <c r="F124" s="15" t="s">
        <v>291</v>
      </c>
      <c r="G124" s="18"/>
      <c r="H124" s="18"/>
      <c r="I124" s="18"/>
      <c r="J124" s="12"/>
      <c r="K124" s="12"/>
      <c r="L124" s="12" t="b">
        <f>IF(COUNTIFS(Table83[[#This Row],[Base Table]:[Energy Table]],"y")&gt;0,"y")</f>
        <v>0</v>
      </c>
      <c r="M124" s="16" t="s">
        <v>35</v>
      </c>
      <c r="N124" s="17" t="s">
        <v>49</v>
      </c>
      <c r="O124" s="17" t="s">
        <v>20</v>
      </c>
      <c r="P124" s="4"/>
      <c r="AH124" s="7"/>
    </row>
    <row r="125" spans="1:34" ht="26.1">
      <c r="A125" s="12" t="s">
        <v>292</v>
      </c>
      <c r="B125" s="13">
        <v>0.55800000000000005</v>
      </c>
      <c r="C125" s="13">
        <v>0.54</v>
      </c>
      <c r="D125" s="14">
        <v>1274939</v>
      </c>
      <c r="E125" s="14">
        <v>941992</v>
      </c>
      <c r="F125" s="15" t="s">
        <v>293</v>
      </c>
      <c r="G125" s="18"/>
      <c r="H125" s="18"/>
      <c r="I125" s="18"/>
      <c r="J125" s="12"/>
      <c r="K125" s="12"/>
      <c r="L125" s="12" t="b">
        <f>IF(COUNTIFS(Table83[[#This Row],[Base Table]:[Energy Table]],"y")&gt;0,"y")</f>
        <v>0</v>
      </c>
      <c r="M125" s="16" t="s">
        <v>35</v>
      </c>
      <c r="N125" s="17" t="s">
        <v>49</v>
      </c>
      <c r="O125" s="17" t="s">
        <v>20</v>
      </c>
      <c r="P125" s="4"/>
      <c r="AH125" s="7"/>
    </row>
    <row r="126" spans="1:34">
      <c r="A126" s="12" t="s">
        <v>294</v>
      </c>
      <c r="B126" s="13">
        <v>1E-3</v>
      </c>
      <c r="C126" s="13">
        <v>1E-3</v>
      </c>
      <c r="D126" s="14">
        <v>1596</v>
      </c>
      <c r="E126" s="14">
        <v>919</v>
      </c>
      <c r="F126" s="15" t="s">
        <v>295</v>
      </c>
      <c r="G126" s="18"/>
      <c r="H126" s="18"/>
      <c r="I126" s="18"/>
      <c r="J126" s="12"/>
      <c r="K126" s="12"/>
      <c r="L126" s="12" t="b">
        <f>IF(COUNTIFS(Table83[[#This Row],[Base Table]:[Energy Table]],"y")&gt;0,"y")</f>
        <v>0</v>
      </c>
      <c r="M126" s="16" t="s">
        <v>23</v>
      </c>
      <c r="N126" s="17" t="s">
        <v>24</v>
      </c>
      <c r="O126" s="17" t="s">
        <v>32</v>
      </c>
      <c r="P126" s="4"/>
      <c r="AH126" s="7"/>
    </row>
    <row r="127" spans="1:34">
      <c r="A127" s="12" t="s">
        <v>296</v>
      </c>
      <c r="B127" s="13">
        <v>0.67100000000000004</v>
      </c>
      <c r="C127" s="13">
        <v>0.752</v>
      </c>
      <c r="D127" s="14">
        <v>1531687</v>
      </c>
      <c r="E127" s="14">
        <v>1311007</v>
      </c>
      <c r="F127" s="15" t="s">
        <v>297</v>
      </c>
      <c r="G127" s="18"/>
      <c r="H127" s="18"/>
      <c r="I127" s="18"/>
      <c r="J127" s="12"/>
      <c r="K127" s="12"/>
      <c r="L127" s="12" t="b">
        <f>IF(COUNTIFS(Table83[[#This Row],[Base Table]:[Energy Table]],"y")&gt;0,"y")</f>
        <v>0</v>
      </c>
      <c r="M127" s="16" t="s">
        <v>23</v>
      </c>
      <c r="N127" s="17" t="s">
        <v>27</v>
      </c>
      <c r="O127" s="17" t="s">
        <v>32</v>
      </c>
      <c r="P127" s="4"/>
      <c r="AH127" s="7"/>
    </row>
    <row r="128" spans="1:34">
      <c r="A128" s="12" t="s">
        <v>298</v>
      </c>
      <c r="B128" s="13" t="e">
        <v>#N/A</v>
      </c>
      <c r="C128" s="13" t="e">
        <v>#N/A</v>
      </c>
      <c r="D128" s="14" t="e">
        <v>#N/A</v>
      </c>
      <c r="E128" s="14" t="e">
        <v>#N/A</v>
      </c>
      <c r="F128" s="15" t="s">
        <v>299</v>
      </c>
      <c r="G128" s="18"/>
      <c r="H128" s="18"/>
      <c r="I128" s="18"/>
      <c r="J128" s="12"/>
      <c r="K128" s="12"/>
      <c r="L128" s="12" t="b">
        <f>IF(COUNTIFS(Table83[[#This Row],[Base Table]:[Energy Table]],"y")&gt;0,"y")</f>
        <v>0</v>
      </c>
      <c r="M128" s="16" t="s">
        <v>35</v>
      </c>
      <c r="N128" s="17" t="s">
        <v>19</v>
      </c>
      <c r="O128" s="17" t="s">
        <v>32</v>
      </c>
      <c r="P128" s="4"/>
      <c r="AH128" s="7"/>
    </row>
    <row r="129" spans="1:34">
      <c r="A129" s="12" t="s">
        <v>300</v>
      </c>
      <c r="B129" s="13">
        <v>0.378</v>
      </c>
      <c r="C129" s="13">
        <v>0.35</v>
      </c>
      <c r="D129" s="14">
        <v>862367</v>
      </c>
      <c r="E129" s="14">
        <v>610011</v>
      </c>
      <c r="F129" s="15" t="s">
        <v>301</v>
      </c>
      <c r="G129" s="18"/>
      <c r="H129" s="18"/>
      <c r="I129" s="18"/>
      <c r="J129" s="12"/>
      <c r="K129" s="12"/>
      <c r="L129" s="12" t="b">
        <f>IF(COUNTIFS(Table83[[#This Row],[Base Table]:[Energy Table]],"y")&gt;0,"y")</f>
        <v>0</v>
      </c>
      <c r="M129" s="16" t="s">
        <v>56</v>
      </c>
      <c r="N129" s="17" t="s">
        <v>53</v>
      </c>
      <c r="O129" s="17" t="s">
        <v>32</v>
      </c>
      <c r="P129" s="4"/>
      <c r="AH129" s="7"/>
    </row>
    <row r="130" spans="1:34">
      <c r="A130" s="12" t="s">
        <v>302</v>
      </c>
      <c r="B130" s="13">
        <v>1</v>
      </c>
      <c r="C130" s="13">
        <v>1</v>
      </c>
      <c r="D130" s="14">
        <v>2283292</v>
      </c>
      <c r="E130" s="14">
        <v>1744350</v>
      </c>
      <c r="F130" s="15" t="s">
        <v>303</v>
      </c>
      <c r="G130" s="18"/>
      <c r="H130" s="18" t="s">
        <v>17</v>
      </c>
      <c r="I130" s="18"/>
      <c r="J130" s="12"/>
      <c r="K130" s="12"/>
      <c r="L130" s="12" t="str">
        <f>IF(COUNTIFS(Table83[[#This Row],[Base Table]:[Energy Table]],"y")&gt;0,"y")</f>
        <v>y</v>
      </c>
      <c r="M130" s="16" t="s">
        <v>35</v>
      </c>
      <c r="N130" s="17" t="s">
        <v>19</v>
      </c>
      <c r="O130" s="17" t="s">
        <v>32</v>
      </c>
      <c r="P130" s="4"/>
      <c r="AH130" s="7"/>
    </row>
    <row r="131" spans="1:34">
      <c r="A131" s="12" t="s">
        <v>304</v>
      </c>
      <c r="B131" s="13">
        <v>0.29099999999999998</v>
      </c>
      <c r="C131" s="13">
        <v>0.29099999999999998</v>
      </c>
      <c r="D131" s="14">
        <v>664807</v>
      </c>
      <c r="E131" s="14">
        <v>507922</v>
      </c>
      <c r="F131" s="15" t="s">
        <v>305</v>
      </c>
      <c r="G131" s="18"/>
      <c r="H131" s="18" t="s">
        <v>17</v>
      </c>
      <c r="I131" s="18"/>
      <c r="J131" s="12"/>
      <c r="K131" s="12"/>
      <c r="L131" s="12" t="str">
        <f>IF(COUNTIFS(Table83[[#This Row],[Base Table]:[Energy Table]],"y")&gt;0,"y")</f>
        <v>y</v>
      </c>
      <c r="M131" s="16" t="s">
        <v>40</v>
      </c>
      <c r="N131" s="17" t="s">
        <v>19</v>
      </c>
      <c r="O131" s="17" t="s">
        <v>32</v>
      </c>
      <c r="P131" s="4"/>
      <c r="AH131" s="7"/>
    </row>
    <row r="132" spans="1:34" ht="26.1">
      <c r="A132" s="12" t="s">
        <v>306</v>
      </c>
      <c r="B132" s="13">
        <v>0.53400000000000003</v>
      </c>
      <c r="C132" s="13">
        <v>0.56200000000000006</v>
      </c>
      <c r="D132" s="14">
        <v>1218821</v>
      </c>
      <c r="E132" s="14">
        <v>980809</v>
      </c>
      <c r="F132" s="15" t="s">
        <v>307</v>
      </c>
      <c r="G132" s="18"/>
      <c r="H132" s="18"/>
      <c r="I132" s="18"/>
      <c r="J132" s="12"/>
      <c r="K132" s="12"/>
      <c r="L132" s="12" t="b">
        <f>IF(COUNTIFS(Table83[[#This Row],[Base Table]:[Energy Table]],"y")&gt;0,"y")</f>
        <v>0</v>
      </c>
      <c r="M132" s="16" t="s">
        <v>98</v>
      </c>
      <c r="N132" s="17" t="s">
        <v>19</v>
      </c>
      <c r="O132" s="17" t="s">
        <v>32</v>
      </c>
      <c r="P132" s="4"/>
      <c r="AH132" s="7"/>
    </row>
    <row r="133" spans="1:34" ht="26.1">
      <c r="A133" s="12" t="s">
        <v>308</v>
      </c>
      <c r="B133" s="13">
        <v>0.96599999999999997</v>
      </c>
      <c r="C133" s="13">
        <v>0.97</v>
      </c>
      <c r="D133" s="14">
        <v>2204884</v>
      </c>
      <c r="E133" s="14">
        <v>1691883</v>
      </c>
      <c r="F133" s="15" t="s">
        <v>309</v>
      </c>
      <c r="G133" s="18"/>
      <c r="H133" s="18"/>
      <c r="I133" s="18"/>
      <c r="J133" s="12"/>
      <c r="K133" s="12"/>
      <c r="L133" s="12" t="b">
        <f>IF(COUNTIFS(Table83[[#This Row],[Base Table]:[Energy Table]],"y")&gt;0,"y")</f>
        <v>0</v>
      </c>
      <c r="M133" s="16" t="s">
        <v>80</v>
      </c>
      <c r="N133" s="17" t="s">
        <v>24</v>
      </c>
      <c r="O133" s="17" t="s">
        <v>32</v>
      </c>
      <c r="P133" s="4"/>
      <c r="AH133" s="7"/>
    </row>
    <row r="134" spans="1:34" ht="39">
      <c r="A134" s="12" t="s">
        <v>310</v>
      </c>
      <c r="B134" s="13">
        <v>0.998</v>
      </c>
      <c r="C134" s="13">
        <v>1</v>
      </c>
      <c r="D134" s="14">
        <v>2278323</v>
      </c>
      <c r="E134" s="14">
        <v>1744348</v>
      </c>
      <c r="F134" s="15" t="s">
        <v>311</v>
      </c>
      <c r="G134" s="18"/>
      <c r="H134" s="18" t="s">
        <v>17</v>
      </c>
      <c r="I134" s="18"/>
      <c r="J134" s="12"/>
      <c r="K134" s="12"/>
      <c r="L134" s="12" t="str">
        <f>IF(COUNTIFS(Table83[[#This Row],[Base Table]:[Energy Table]],"y")&gt;0,"y")</f>
        <v>y</v>
      </c>
      <c r="M134" s="16" t="s">
        <v>98</v>
      </c>
      <c r="N134" s="17" t="s">
        <v>24</v>
      </c>
      <c r="O134" s="17" t="s">
        <v>32</v>
      </c>
      <c r="P134" s="4"/>
      <c r="AH134" s="7"/>
    </row>
    <row r="135" spans="1:34">
      <c r="A135" s="12" t="s">
        <v>312</v>
      </c>
      <c r="B135" s="13">
        <v>1</v>
      </c>
      <c r="C135" s="13">
        <v>1</v>
      </c>
      <c r="D135" s="14">
        <v>2283292</v>
      </c>
      <c r="E135" s="14">
        <v>1744350</v>
      </c>
      <c r="F135" s="15" t="s">
        <v>313</v>
      </c>
      <c r="G135" s="18"/>
      <c r="H135" s="18"/>
      <c r="I135" s="18"/>
      <c r="J135" s="12"/>
      <c r="K135" s="12"/>
      <c r="L135" s="12" t="b">
        <f>IF(COUNTIFS(Table83[[#This Row],[Base Table]:[Energy Table]],"y")&gt;0,"y")</f>
        <v>0</v>
      </c>
      <c r="M135" s="16" t="s">
        <v>199</v>
      </c>
      <c r="N135" s="17" t="s">
        <v>19</v>
      </c>
      <c r="O135" s="17" t="s">
        <v>32</v>
      </c>
      <c r="P135" s="4"/>
      <c r="AH135" s="7"/>
    </row>
    <row r="136" spans="1:34">
      <c r="A136" s="12" t="s">
        <v>314</v>
      </c>
      <c r="B136" s="13">
        <v>1</v>
      </c>
      <c r="C136" s="13">
        <v>1</v>
      </c>
      <c r="D136" s="14">
        <v>2283292</v>
      </c>
      <c r="E136" s="14">
        <v>1744350</v>
      </c>
      <c r="F136" s="15" t="s">
        <v>315</v>
      </c>
      <c r="G136" s="18"/>
      <c r="H136" s="18"/>
      <c r="I136" s="18"/>
      <c r="J136" s="12"/>
      <c r="K136" s="12"/>
      <c r="L136" s="12" t="b">
        <f>IF(COUNTIFS(Table83[[#This Row],[Base Table]:[Energy Table]],"y")&gt;0,"y")</f>
        <v>0</v>
      </c>
      <c r="M136" s="16" t="s">
        <v>199</v>
      </c>
      <c r="N136" s="17" t="s">
        <v>19</v>
      </c>
      <c r="O136" s="17" t="s">
        <v>32</v>
      </c>
      <c r="P136" s="4"/>
      <c r="AH136" s="7"/>
    </row>
    <row r="137" spans="1:34">
      <c r="A137" s="12" t="s">
        <v>316</v>
      </c>
      <c r="B137" s="13">
        <v>1</v>
      </c>
      <c r="C137" s="13">
        <v>1</v>
      </c>
      <c r="D137" s="14">
        <v>2283292</v>
      </c>
      <c r="E137" s="14">
        <v>1744350</v>
      </c>
      <c r="F137" s="15" t="s">
        <v>317</v>
      </c>
      <c r="G137" s="18"/>
      <c r="H137" s="18"/>
      <c r="I137" s="18" t="s">
        <v>17</v>
      </c>
      <c r="J137" s="12"/>
      <c r="K137" s="12"/>
      <c r="L137" s="12" t="str">
        <f>IF(COUNTIFS(Table83[[#This Row],[Base Table]:[Energy Table]],"y")&gt;0,"y")</f>
        <v>y</v>
      </c>
      <c r="M137" s="16" t="s">
        <v>35</v>
      </c>
      <c r="N137" s="17" t="s">
        <v>19</v>
      </c>
      <c r="O137" s="17" t="s">
        <v>32</v>
      </c>
      <c r="P137" s="4"/>
      <c r="AH137" s="7"/>
    </row>
    <row r="138" spans="1:34">
      <c r="A138" s="12" t="s">
        <v>318</v>
      </c>
      <c r="B138" s="13">
        <v>1</v>
      </c>
      <c r="C138" s="13">
        <v>1</v>
      </c>
      <c r="D138" s="14">
        <v>2283292</v>
      </c>
      <c r="E138" s="14">
        <v>1744350</v>
      </c>
      <c r="F138" s="15" t="s">
        <v>319</v>
      </c>
      <c r="G138" s="18"/>
      <c r="H138" s="18"/>
      <c r="I138" s="18"/>
      <c r="J138" s="12"/>
      <c r="K138" s="12"/>
      <c r="L138" s="12" t="b">
        <f>IF(COUNTIFS(Table83[[#This Row],[Base Table]:[Energy Table]],"y")&gt;0,"y")</f>
        <v>0</v>
      </c>
      <c r="M138" s="16" t="s">
        <v>35</v>
      </c>
      <c r="N138" s="17" t="s">
        <v>19</v>
      </c>
      <c r="O138" s="17" t="s">
        <v>32</v>
      </c>
      <c r="P138" s="4"/>
      <c r="AH138" s="7"/>
    </row>
    <row r="139" spans="1:34" ht="26.1">
      <c r="A139" s="12" t="s">
        <v>320</v>
      </c>
      <c r="B139" s="13">
        <v>0.48199999999999998</v>
      </c>
      <c r="C139" s="13">
        <v>0.45600000000000002</v>
      </c>
      <c r="D139" s="14">
        <v>1101118</v>
      </c>
      <c r="E139" s="14">
        <v>794812</v>
      </c>
      <c r="F139" s="15" t="s">
        <v>321</v>
      </c>
      <c r="G139" s="18"/>
      <c r="H139" s="18"/>
      <c r="I139" s="18"/>
      <c r="J139" s="12"/>
      <c r="K139" s="12"/>
      <c r="L139" s="12" t="b">
        <f>IF(COUNTIFS(Table83[[#This Row],[Base Table]:[Energy Table]],"y")&gt;0,"y")</f>
        <v>0</v>
      </c>
      <c r="M139" s="16" t="s">
        <v>48</v>
      </c>
      <c r="N139" s="17" t="s">
        <v>49</v>
      </c>
      <c r="O139" s="17" t="s">
        <v>32</v>
      </c>
      <c r="P139" s="4"/>
      <c r="AH139" s="7"/>
    </row>
    <row r="140" spans="1:34" ht="26.1">
      <c r="A140" s="12" t="s">
        <v>322</v>
      </c>
      <c r="B140" s="13">
        <v>0.48199999999999998</v>
      </c>
      <c r="C140" s="13">
        <v>0.45600000000000002</v>
      </c>
      <c r="D140" s="14">
        <v>1101118</v>
      </c>
      <c r="E140" s="14">
        <v>794812</v>
      </c>
      <c r="F140" s="15" t="s">
        <v>323</v>
      </c>
      <c r="G140" s="18"/>
      <c r="H140" s="18"/>
      <c r="I140" s="18"/>
      <c r="J140" s="12"/>
      <c r="K140" s="12"/>
      <c r="L140" s="12" t="b">
        <f>IF(COUNTIFS(Table83[[#This Row],[Base Table]:[Energy Table]],"y")&gt;0,"y")</f>
        <v>0</v>
      </c>
      <c r="M140" s="16" t="s">
        <v>48</v>
      </c>
      <c r="N140" s="17" t="s">
        <v>49</v>
      </c>
      <c r="O140" s="17" t="s">
        <v>32</v>
      </c>
      <c r="P140" s="4"/>
      <c r="AH140" s="7"/>
    </row>
    <row r="141" spans="1:34">
      <c r="A141" s="12" t="s">
        <v>324</v>
      </c>
      <c r="B141" s="13">
        <v>0.55800000000000005</v>
      </c>
      <c r="C141" s="13">
        <v>0.54</v>
      </c>
      <c r="D141" s="14">
        <v>1274939</v>
      </c>
      <c r="E141" s="14">
        <v>941992</v>
      </c>
      <c r="F141" s="15" t="s">
        <v>325</v>
      </c>
      <c r="G141" s="18"/>
      <c r="H141" s="18"/>
      <c r="I141" s="18"/>
      <c r="J141" s="12"/>
      <c r="K141" s="12"/>
      <c r="L141" s="12" t="b">
        <f>IF(COUNTIFS(Table83[[#This Row],[Base Table]:[Energy Table]],"y")&gt;0,"y")</f>
        <v>0</v>
      </c>
      <c r="M141" s="16" t="s">
        <v>35</v>
      </c>
      <c r="N141" s="17" t="s">
        <v>49</v>
      </c>
      <c r="O141" s="17" t="s">
        <v>32</v>
      </c>
      <c r="P141" s="4"/>
      <c r="AH141" s="7"/>
    </row>
    <row r="142" spans="1:34">
      <c r="A142" s="12" t="s">
        <v>326</v>
      </c>
      <c r="B142" s="13">
        <v>8.9999999999999993E-3</v>
      </c>
      <c r="C142" s="13">
        <v>5.0000000000000001E-3</v>
      </c>
      <c r="D142" s="14">
        <v>20928</v>
      </c>
      <c r="E142" s="14">
        <v>7994</v>
      </c>
      <c r="F142" s="15" t="s">
        <v>327</v>
      </c>
      <c r="G142" s="18"/>
      <c r="H142" s="18"/>
      <c r="I142" s="18"/>
      <c r="J142" s="12"/>
      <c r="K142" s="12"/>
      <c r="L142" s="12" t="b">
        <f>IF(COUNTIFS(Table83[[#This Row],[Base Table]:[Energy Table]],"y")&gt;0,"y")</f>
        <v>0</v>
      </c>
      <c r="M142" s="16" t="s">
        <v>23</v>
      </c>
      <c r="N142" s="17" t="s">
        <v>24</v>
      </c>
      <c r="O142" s="17" t="s">
        <v>32</v>
      </c>
      <c r="P142" s="4"/>
      <c r="AH142" s="7"/>
    </row>
    <row r="143" spans="1:34">
      <c r="A143" s="12" t="s">
        <v>328</v>
      </c>
      <c r="B143" s="13">
        <v>4.3999999999999997E-2</v>
      </c>
      <c r="C143" s="13">
        <v>2.5999999999999999E-2</v>
      </c>
      <c r="D143" s="14">
        <v>101072</v>
      </c>
      <c r="E143" s="14">
        <v>44881</v>
      </c>
      <c r="F143" s="15" t="s">
        <v>329</v>
      </c>
      <c r="G143" s="18"/>
      <c r="H143" s="18"/>
      <c r="I143" s="18"/>
      <c r="J143" s="12"/>
      <c r="K143" s="12"/>
      <c r="L143" s="12" t="b">
        <f>IF(COUNTIFS(Table83[[#This Row],[Base Table]:[Energy Table]],"y")&gt;0,"y")</f>
        <v>0</v>
      </c>
      <c r="M143" s="16" t="s">
        <v>23</v>
      </c>
      <c r="N143" s="17" t="s">
        <v>24</v>
      </c>
      <c r="O143" s="17" t="s">
        <v>32</v>
      </c>
      <c r="P143" s="4"/>
      <c r="AH143" s="7"/>
    </row>
    <row r="144" spans="1:34">
      <c r="A144" s="12" t="s">
        <v>330</v>
      </c>
      <c r="B144" s="13">
        <v>0.121</v>
      </c>
      <c r="C144" s="13">
        <v>0.11899999999999999</v>
      </c>
      <c r="D144" s="14">
        <v>277359</v>
      </c>
      <c r="E144" s="14">
        <v>207494</v>
      </c>
      <c r="F144" s="15" t="s">
        <v>331</v>
      </c>
      <c r="G144" s="18"/>
      <c r="H144" s="18" t="s">
        <v>17</v>
      </c>
      <c r="I144" s="18"/>
      <c r="J144" s="12"/>
      <c r="K144" s="12"/>
      <c r="L144" s="12" t="str">
        <f>IF(COUNTIFS(Table83[[#This Row],[Base Table]:[Energy Table]],"y")&gt;0,"y")</f>
        <v>y</v>
      </c>
      <c r="M144" s="16" t="s">
        <v>98</v>
      </c>
      <c r="N144" s="17" t="s">
        <v>24</v>
      </c>
      <c r="O144" s="17" t="s">
        <v>32</v>
      </c>
      <c r="P144" s="4"/>
      <c r="AH144" s="7"/>
    </row>
    <row r="145" spans="1:34">
      <c r="A145" s="12" t="s">
        <v>332</v>
      </c>
      <c r="B145" s="13">
        <v>0.121</v>
      </c>
      <c r="C145" s="13">
        <v>0.11899999999999999</v>
      </c>
      <c r="D145" s="14">
        <v>275976</v>
      </c>
      <c r="E145" s="14">
        <v>207185</v>
      </c>
      <c r="F145" s="15" t="s">
        <v>333</v>
      </c>
      <c r="G145" s="18"/>
      <c r="H145" s="18" t="s">
        <v>17</v>
      </c>
      <c r="I145" s="18"/>
      <c r="J145" s="12"/>
      <c r="K145" s="12"/>
      <c r="L145" s="12" t="str">
        <f>IF(COUNTIFS(Table83[[#This Row],[Base Table]:[Energy Table]],"y")&gt;0,"y")</f>
        <v>y</v>
      </c>
      <c r="M145" s="16" t="s">
        <v>98</v>
      </c>
      <c r="N145" s="17" t="s">
        <v>24</v>
      </c>
      <c r="O145" s="17" t="s">
        <v>32</v>
      </c>
      <c r="P145" s="4"/>
      <c r="AH145" s="7"/>
    </row>
    <row r="146" spans="1:34">
      <c r="A146" s="12" t="s">
        <v>334</v>
      </c>
      <c r="B146" s="13">
        <v>0.51900000000000002</v>
      </c>
      <c r="C146" s="13">
        <v>0.52100000000000002</v>
      </c>
      <c r="D146" s="14">
        <v>1184519</v>
      </c>
      <c r="E146" s="14">
        <v>908612</v>
      </c>
      <c r="F146" s="15" t="s">
        <v>335</v>
      </c>
      <c r="G146" s="18"/>
      <c r="H146" s="18" t="s">
        <v>17</v>
      </c>
      <c r="I146" s="18"/>
      <c r="J146" s="12"/>
      <c r="K146" s="12"/>
      <c r="L146" s="12" t="str">
        <f>IF(COUNTIFS(Table83[[#This Row],[Base Table]:[Energy Table]],"y")&gt;0,"y")</f>
        <v>y</v>
      </c>
      <c r="M146" s="16" t="s">
        <v>98</v>
      </c>
      <c r="N146" s="17" t="s">
        <v>24</v>
      </c>
      <c r="O146" s="17" t="s">
        <v>32</v>
      </c>
      <c r="P146" s="4"/>
      <c r="AH146" s="7"/>
    </row>
    <row r="147" spans="1:34">
      <c r="A147" s="12" t="s">
        <v>336</v>
      </c>
      <c r="B147" s="13">
        <v>0.51800000000000002</v>
      </c>
      <c r="C147" s="13">
        <v>0.52100000000000002</v>
      </c>
      <c r="D147" s="14">
        <v>1183390</v>
      </c>
      <c r="E147" s="14">
        <v>908408</v>
      </c>
      <c r="F147" s="15" t="s">
        <v>337</v>
      </c>
      <c r="G147" s="18"/>
      <c r="H147" s="18" t="s">
        <v>17</v>
      </c>
      <c r="I147" s="18"/>
      <c r="J147" s="12"/>
      <c r="K147" s="12"/>
      <c r="L147" s="12" t="str">
        <f>IF(COUNTIFS(Table83[[#This Row],[Base Table]:[Energy Table]],"y")&gt;0,"y")</f>
        <v>y</v>
      </c>
      <c r="M147" s="16" t="s">
        <v>98</v>
      </c>
      <c r="N147" s="17" t="s">
        <v>24</v>
      </c>
      <c r="O147" s="17" t="s">
        <v>32</v>
      </c>
      <c r="P147" s="4"/>
      <c r="AH147" s="7"/>
    </row>
    <row r="148" spans="1:34">
      <c r="A148" s="12" t="s">
        <v>338</v>
      </c>
      <c r="B148" s="13">
        <v>0.378</v>
      </c>
      <c r="C148" s="13">
        <v>0.35</v>
      </c>
      <c r="D148" s="14">
        <v>862367</v>
      </c>
      <c r="E148" s="14">
        <v>610011</v>
      </c>
      <c r="F148" s="15" t="s">
        <v>339</v>
      </c>
      <c r="G148" s="18"/>
      <c r="H148" s="18"/>
      <c r="I148" s="18"/>
      <c r="J148" s="12"/>
      <c r="K148" s="12"/>
      <c r="L148" s="12" t="b">
        <f>IF(COUNTIFS(Table83[[#This Row],[Base Table]:[Energy Table]],"y")&gt;0,"y")</f>
        <v>0</v>
      </c>
      <c r="M148" s="16" t="s">
        <v>56</v>
      </c>
      <c r="N148" s="17" t="s">
        <v>53</v>
      </c>
      <c r="O148" s="17" t="s">
        <v>32</v>
      </c>
      <c r="P148" s="4"/>
      <c r="AH148" s="7"/>
    </row>
    <row r="149" spans="1:34" ht="26.1">
      <c r="A149" s="12" t="s">
        <v>340</v>
      </c>
      <c r="B149" s="13">
        <v>1</v>
      </c>
      <c r="C149" s="13">
        <v>1</v>
      </c>
      <c r="D149" s="14">
        <v>2283292</v>
      </c>
      <c r="E149" s="14">
        <v>1744350</v>
      </c>
      <c r="F149" s="15" t="s">
        <v>341</v>
      </c>
      <c r="G149" s="18"/>
      <c r="H149" s="18"/>
      <c r="I149" s="18"/>
      <c r="J149" s="12"/>
      <c r="K149" s="12"/>
      <c r="L149" s="12" t="b">
        <f>IF(COUNTIFS(Table83[[#This Row],[Base Table]:[Energy Table]],"y")&gt;0,"y")</f>
        <v>0</v>
      </c>
      <c r="M149" s="16" t="s">
        <v>199</v>
      </c>
      <c r="N149" s="17" t="s">
        <v>19</v>
      </c>
      <c r="O149" s="17" t="s">
        <v>32</v>
      </c>
      <c r="P149" s="4"/>
      <c r="AH149" s="7"/>
    </row>
    <row r="150" spans="1:34">
      <c r="A150" s="12" t="s">
        <v>342</v>
      </c>
      <c r="B150" s="13">
        <v>0.995</v>
      </c>
      <c r="C150" s="13">
        <v>0.999</v>
      </c>
      <c r="D150" s="14">
        <v>2270970</v>
      </c>
      <c r="E150" s="14">
        <v>1742999</v>
      </c>
      <c r="F150" s="15" t="s">
        <v>343</v>
      </c>
      <c r="G150" s="18"/>
      <c r="H150" s="18"/>
      <c r="I150" s="18"/>
      <c r="J150" s="12"/>
      <c r="K150" s="12"/>
      <c r="L150" s="12" t="b">
        <f>IF(COUNTIFS(Table83[[#This Row],[Base Table]:[Energy Table]],"y")&gt;0,"y")</f>
        <v>0</v>
      </c>
      <c r="M150" s="16" t="s">
        <v>215</v>
      </c>
      <c r="N150" s="17" t="s">
        <v>24</v>
      </c>
      <c r="O150" s="17" t="s">
        <v>32</v>
      </c>
      <c r="P150" s="4"/>
      <c r="AH150" s="7"/>
    </row>
    <row r="151" spans="1:34">
      <c r="A151" s="12" t="s">
        <v>344</v>
      </c>
      <c r="B151" s="13">
        <v>5.0000000000000001E-3</v>
      </c>
      <c r="C151" s="13">
        <v>2E-3</v>
      </c>
      <c r="D151" s="14">
        <v>10772</v>
      </c>
      <c r="E151" s="14">
        <v>3120</v>
      </c>
      <c r="F151" s="15" t="s">
        <v>345</v>
      </c>
      <c r="G151" s="18"/>
      <c r="H151" s="18"/>
      <c r="I151" s="18"/>
      <c r="J151" s="12"/>
      <c r="K151" s="12"/>
      <c r="L151" s="12" t="b">
        <f>IF(COUNTIFS(Table83[[#This Row],[Base Table]:[Energy Table]],"y")&gt;0,"y")</f>
        <v>0</v>
      </c>
      <c r="M151" s="16" t="s">
        <v>346</v>
      </c>
      <c r="N151" s="17" t="s">
        <v>347</v>
      </c>
      <c r="O151" s="17" t="s">
        <v>32</v>
      </c>
      <c r="P151" s="4"/>
      <c r="AH151" s="7"/>
    </row>
    <row r="152" spans="1:34">
      <c r="A152" s="12" t="s">
        <v>348</v>
      </c>
      <c r="B152" s="13">
        <v>3.0000000000000001E-3</v>
      </c>
      <c r="C152" s="13">
        <v>1E-3</v>
      </c>
      <c r="D152" s="14">
        <v>6218</v>
      </c>
      <c r="E152" s="14">
        <v>1381</v>
      </c>
      <c r="F152" s="15" t="s">
        <v>349</v>
      </c>
      <c r="G152" s="18"/>
      <c r="H152" s="18"/>
      <c r="I152" s="18"/>
      <c r="J152" s="12"/>
      <c r="K152" s="12"/>
      <c r="L152" s="12" t="b">
        <f>IF(COUNTIFS(Table83[[#This Row],[Base Table]:[Energy Table]],"y")&gt;0,"y")</f>
        <v>0</v>
      </c>
      <c r="M152" s="16" t="s">
        <v>215</v>
      </c>
      <c r="N152" s="17" t="s">
        <v>24</v>
      </c>
      <c r="O152" s="17" t="s">
        <v>32</v>
      </c>
      <c r="P152" s="4"/>
      <c r="AH152" s="7"/>
    </row>
    <row r="153" spans="1:34">
      <c r="A153" s="12" t="s">
        <v>350</v>
      </c>
      <c r="B153" s="13">
        <v>0.995</v>
      </c>
      <c r="C153" s="13">
        <v>0.999</v>
      </c>
      <c r="D153" s="14">
        <v>2271157</v>
      </c>
      <c r="E153" s="14">
        <v>1743012</v>
      </c>
      <c r="F153" s="15" t="s">
        <v>351</v>
      </c>
      <c r="G153" s="18"/>
      <c r="H153" s="18"/>
      <c r="I153" s="18"/>
      <c r="J153" s="12"/>
      <c r="K153" s="12"/>
      <c r="L153" s="12" t="b">
        <f>IF(COUNTIFS(Table83[[#This Row],[Base Table]:[Energy Table]],"y")&gt;0,"y")</f>
        <v>0</v>
      </c>
      <c r="M153" s="16" t="s">
        <v>178</v>
      </c>
      <c r="N153" s="17" t="s">
        <v>24</v>
      </c>
      <c r="O153" s="17" t="s">
        <v>32</v>
      </c>
      <c r="P153" s="4"/>
      <c r="AH153" s="7"/>
    </row>
    <row r="154" spans="1:34">
      <c r="A154" s="12" t="s">
        <v>352</v>
      </c>
      <c r="B154" s="13">
        <v>0.995</v>
      </c>
      <c r="C154" s="13">
        <v>0.999</v>
      </c>
      <c r="D154" s="14">
        <v>2270969</v>
      </c>
      <c r="E154" s="14">
        <v>1742999</v>
      </c>
      <c r="F154" s="15" t="s">
        <v>353</v>
      </c>
      <c r="G154" s="18"/>
      <c r="H154" s="18"/>
      <c r="I154" s="18"/>
      <c r="J154" s="12"/>
      <c r="K154" s="12"/>
      <c r="L154" s="12" t="b">
        <f>IF(COUNTIFS(Table83[[#This Row],[Base Table]:[Energy Table]],"y")&gt;0,"y")</f>
        <v>0</v>
      </c>
      <c r="M154" s="16" t="s">
        <v>215</v>
      </c>
      <c r="N154" s="17" t="s">
        <v>24</v>
      </c>
      <c r="O154" s="17" t="s">
        <v>32</v>
      </c>
      <c r="P154" s="4"/>
      <c r="AH154" s="7"/>
    </row>
    <row r="155" spans="1:34">
      <c r="A155" s="12" t="s">
        <v>354</v>
      </c>
      <c r="B155" s="13">
        <v>1</v>
      </c>
      <c r="C155" s="13">
        <v>1</v>
      </c>
      <c r="D155" s="14">
        <v>2283292</v>
      </c>
      <c r="E155" s="14">
        <v>1744350</v>
      </c>
      <c r="F155" s="15" t="s">
        <v>355</v>
      </c>
      <c r="G155" s="18"/>
      <c r="H155" s="18"/>
      <c r="I155" s="18"/>
      <c r="J155" s="12"/>
      <c r="K155" s="12"/>
      <c r="L155" s="12" t="b">
        <f>IF(COUNTIFS(Table83[[#This Row],[Base Table]:[Energy Table]],"y")&gt;0,"y")</f>
        <v>0</v>
      </c>
      <c r="M155" s="16" t="s">
        <v>35</v>
      </c>
      <c r="N155" s="17" t="s">
        <v>212</v>
      </c>
      <c r="O155" s="17" t="s">
        <v>32</v>
      </c>
      <c r="P155" s="4"/>
      <c r="AH155" s="7"/>
    </row>
    <row r="156" spans="1:34">
      <c r="A156" s="12" t="s">
        <v>356</v>
      </c>
      <c r="B156" s="13">
        <v>0.995</v>
      </c>
      <c r="C156" s="13">
        <v>0.999</v>
      </c>
      <c r="D156" s="14">
        <v>2271157</v>
      </c>
      <c r="E156" s="14">
        <v>1743012</v>
      </c>
      <c r="F156" s="15" t="s">
        <v>357</v>
      </c>
      <c r="G156" s="18"/>
      <c r="H156" s="18"/>
      <c r="I156" s="18"/>
      <c r="J156" s="12"/>
      <c r="K156" s="12"/>
      <c r="L156" s="12" t="b">
        <f>IF(COUNTIFS(Table83[[#This Row],[Base Table]:[Energy Table]],"y")&gt;0,"y")</f>
        <v>0</v>
      </c>
      <c r="M156" s="16" t="s">
        <v>35</v>
      </c>
      <c r="N156" s="17" t="s">
        <v>24</v>
      </c>
      <c r="O156" s="17" t="s">
        <v>32</v>
      </c>
      <c r="P156" s="4"/>
      <c r="AH156" s="7"/>
    </row>
    <row r="157" spans="1:34">
      <c r="A157" s="12" t="s">
        <v>358</v>
      </c>
      <c r="B157" s="13">
        <v>0.48199999999999998</v>
      </c>
      <c r="C157" s="13">
        <v>0.45600000000000002</v>
      </c>
      <c r="D157" s="14">
        <v>1101118</v>
      </c>
      <c r="E157" s="14">
        <v>794812</v>
      </c>
      <c r="F157" s="15" t="s">
        <v>359</v>
      </c>
      <c r="G157" s="18"/>
      <c r="H157" s="18"/>
      <c r="I157" s="18"/>
      <c r="J157" s="12"/>
      <c r="K157" s="12"/>
      <c r="L157" s="12" t="b">
        <f>IF(COUNTIFS(Table83[[#This Row],[Base Table]:[Energy Table]],"y")&gt;0,"y")</f>
        <v>0</v>
      </c>
      <c r="M157" s="16" t="s">
        <v>48</v>
      </c>
      <c r="N157" s="17" t="s">
        <v>49</v>
      </c>
      <c r="O157" s="17" t="s">
        <v>32</v>
      </c>
      <c r="P157" s="4"/>
      <c r="AH157" s="7"/>
    </row>
    <row r="158" spans="1:34">
      <c r="A158" s="12" t="s">
        <v>360</v>
      </c>
      <c r="B158" s="13">
        <v>0.55800000000000005</v>
      </c>
      <c r="C158" s="13">
        <v>0.54</v>
      </c>
      <c r="D158" s="14">
        <v>1274939</v>
      </c>
      <c r="E158" s="14">
        <v>941992</v>
      </c>
      <c r="F158" s="15" t="s">
        <v>361</v>
      </c>
      <c r="G158" s="18"/>
      <c r="H158" s="18"/>
      <c r="I158" s="18"/>
      <c r="J158" s="12"/>
      <c r="K158" s="12"/>
      <c r="L158" s="12" t="b">
        <f>IF(COUNTIFS(Table83[[#This Row],[Base Table]:[Energy Table]],"y")&gt;0,"y")</f>
        <v>0</v>
      </c>
      <c r="M158" s="16" t="s">
        <v>35</v>
      </c>
      <c r="N158" s="17" t="s">
        <v>49</v>
      </c>
      <c r="O158" s="17" t="s">
        <v>32</v>
      </c>
      <c r="P158" s="4"/>
      <c r="AH158" s="7"/>
    </row>
    <row r="159" spans="1:34" ht="26.1">
      <c r="A159" s="12" t="s">
        <v>362</v>
      </c>
      <c r="B159" s="13">
        <v>0.55800000000000005</v>
      </c>
      <c r="C159" s="13">
        <v>0.54</v>
      </c>
      <c r="D159" s="14">
        <v>1274939</v>
      </c>
      <c r="E159" s="14">
        <v>941992</v>
      </c>
      <c r="F159" s="15" t="s">
        <v>363</v>
      </c>
      <c r="G159" s="18"/>
      <c r="H159" s="18"/>
      <c r="I159" s="18"/>
      <c r="J159" s="12"/>
      <c r="K159" s="12"/>
      <c r="L159" s="12" t="b">
        <f>IF(COUNTIFS(Table83[[#This Row],[Base Table]:[Energy Table]],"y")&gt;0,"y")</f>
        <v>0</v>
      </c>
      <c r="M159" s="16" t="s">
        <v>35</v>
      </c>
      <c r="N159" s="17" t="s">
        <v>49</v>
      </c>
      <c r="O159" s="17" t="s">
        <v>32</v>
      </c>
      <c r="P159" s="4"/>
      <c r="AH159" s="7"/>
    </row>
    <row r="160" spans="1:34" ht="26.1">
      <c r="A160" s="12" t="s">
        <v>364</v>
      </c>
      <c r="B160" s="13">
        <v>0.55800000000000005</v>
      </c>
      <c r="C160" s="13">
        <v>0.54</v>
      </c>
      <c r="D160" s="14">
        <v>1274939</v>
      </c>
      <c r="E160" s="14">
        <v>941992</v>
      </c>
      <c r="F160" s="15" t="s">
        <v>365</v>
      </c>
      <c r="G160" s="18"/>
      <c r="H160" s="18"/>
      <c r="I160" s="18"/>
      <c r="J160" s="12"/>
      <c r="K160" s="12"/>
      <c r="L160" s="12" t="b">
        <f>IF(COUNTIFS(Table83[[#This Row],[Base Table]:[Energy Table]],"y")&gt;0,"y")</f>
        <v>0</v>
      </c>
      <c r="M160" s="16" t="s">
        <v>35</v>
      </c>
      <c r="N160" s="17" t="s">
        <v>49</v>
      </c>
      <c r="O160" s="17" t="s">
        <v>32</v>
      </c>
      <c r="P160" s="4"/>
      <c r="AH160" s="7"/>
    </row>
    <row r="161" spans="1:34" ht="26.1">
      <c r="A161" s="12" t="s">
        <v>366</v>
      </c>
      <c r="B161" s="13">
        <v>0.55800000000000005</v>
      </c>
      <c r="C161" s="13">
        <v>0.54</v>
      </c>
      <c r="D161" s="14">
        <v>1274939</v>
      </c>
      <c r="E161" s="14">
        <v>941992</v>
      </c>
      <c r="F161" s="15" t="s">
        <v>367</v>
      </c>
      <c r="G161" s="18"/>
      <c r="H161" s="18"/>
      <c r="I161" s="18"/>
      <c r="J161" s="12"/>
      <c r="K161" s="12"/>
      <c r="L161" s="12" t="b">
        <f>IF(COUNTIFS(Table83[[#This Row],[Base Table]:[Energy Table]],"y")&gt;0,"y")</f>
        <v>0</v>
      </c>
      <c r="M161" s="16" t="s">
        <v>35</v>
      </c>
      <c r="N161" s="17" t="s">
        <v>49</v>
      </c>
      <c r="O161" s="17" t="s">
        <v>32</v>
      </c>
      <c r="P161" s="4"/>
      <c r="AH161" s="7"/>
    </row>
    <row r="162" spans="1:34" ht="26.1">
      <c r="A162" s="12" t="s">
        <v>368</v>
      </c>
      <c r="B162" s="13">
        <v>0.55800000000000005</v>
      </c>
      <c r="C162" s="13">
        <v>0.54</v>
      </c>
      <c r="D162" s="14">
        <v>1274939</v>
      </c>
      <c r="E162" s="14">
        <v>941992</v>
      </c>
      <c r="F162" s="15" t="s">
        <v>369</v>
      </c>
      <c r="G162" s="18"/>
      <c r="H162" s="18"/>
      <c r="I162" s="18"/>
      <c r="J162" s="12"/>
      <c r="K162" s="12"/>
      <c r="L162" s="12" t="b">
        <f>IF(COUNTIFS(Table83[[#This Row],[Base Table]:[Energy Table]],"y")&gt;0,"y")</f>
        <v>0</v>
      </c>
      <c r="M162" s="16" t="s">
        <v>35</v>
      </c>
      <c r="N162" s="17" t="s">
        <v>49</v>
      </c>
      <c r="O162" s="17" t="s">
        <v>32</v>
      </c>
      <c r="P162" s="4"/>
      <c r="AH162" s="7"/>
    </row>
    <row r="163" spans="1:34" ht="26.1">
      <c r="A163" s="12" t="s">
        <v>370</v>
      </c>
      <c r="B163" s="13">
        <v>0.55800000000000005</v>
      </c>
      <c r="C163" s="13">
        <v>0.54</v>
      </c>
      <c r="D163" s="14">
        <v>1274939</v>
      </c>
      <c r="E163" s="14">
        <v>941992</v>
      </c>
      <c r="F163" s="15" t="s">
        <v>371</v>
      </c>
      <c r="G163" s="18"/>
      <c r="H163" s="18"/>
      <c r="I163" s="18"/>
      <c r="J163" s="12"/>
      <c r="K163" s="12"/>
      <c r="L163" s="12" t="b">
        <f>IF(COUNTIFS(Table83[[#This Row],[Base Table]:[Energy Table]],"y")&gt;0,"y")</f>
        <v>0</v>
      </c>
      <c r="M163" s="16" t="s">
        <v>35</v>
      </c>
      <c r="N163" s="17" t="s">
        <v>49</v>
      </c>
      <c r="O163" s="17" t="s">
        <v>32</v>
      </c>
      <c r="P163" s="4"/>
      <c r="AH163" s="7"/>
    </row>
    <row r="164" spans="1:34">
      <c r="A164" s="12" t="s">
        <v>372</v>
      </c>
      <c r="B164" s="13">
        <v>0.378</v>
      </c>
      <c r="C164" s="13">
        <v>0.35</v>
      </c>
      <c r="D164" s="14">
        <v>862367</v>
      </c>
      <c r="E164" s="14">
        <v>610011</v>
      </c>
      <c r="F164" s="15" t="s">
        <v>373</v>
      </c>
      <c r="G164" s="18"/>
      <c r="H164" s="18" t="s">
        <v>17</v>
      </c>
      <c r="I164" s="18"/>
      <c r="J164" s="12"/>
      <c r="K164" s="12"/>
      <c r="L164" s="12" t="str">
        <f>IF(COUNTIFS(Table83[[#This Row],[Base Table]:[Energy Table]],"y")&gt;0,"y")</f>
        <v>y</v>
      </c>
      <c r="M164" s="16" t="s">
        <v>56</v>
      </c>
      <c r="N164" s="17" t="s">
        <v>53</v>
      </c>
      <c r="O164" s="17" t="s">
        <v>32</v>
      </c>
      <c r="P164" s="4"/>
      <c r="AH164" s="7"/>
    </row>
    <row r="165" spans="1:34">
      <c r="A165" s="12" t="s">
        <v>374</v>
      </c>
      <c r="B165" s="13">
        <v>1</v>
      </c>
      <c r="C165" s="13">
        <v>1</v>
      </c>
      <c r="D165" s="14">
        <v>2283279</v>
      </c>
      <c r="E165" s="14">
        <v>1744345</v>
      </c>
      <c r="F165" s="15" t="s">
        <v>375</v>
      </c>
      <c r="G165" s="18"/>
      <c r="H165" s="18" t="s">
        <v>17</v>
      </c>
      <c r="I165" s="18"/>
      <c r="J165" s="12"/>
      <c r="K165" s="12"/>
      <c r="L165" s="12" t="str">
        <f>IF(COUNTIFS(Table83[[#This Row],[Base Table]:[Energy Table]],"y")&gt;0,"y")</f>
        <v>y</v>
      </c>
      <c r="M165" s="16" t="s">
        <v>40</v>
      </c>
      <c r="N165" s="17" t="s">
        <v>19</v>
      </c>
      <c r="O165" s="17" t="s">
        <v>32</v>
      </c>
      <c r="P165" s="4"/>
      <c r="AH165" s="7"/>
    </row>
    <row r="166" spans="1:34">
      <c r="A166" s="12" t="s">
        <v>376</v>
      </c>
      <c r="B166" s="13">
        <v>1</v>
      </c>
      <c r="C166" s="13">
        <v>1</v>
      </c>
      <c r="D166" s="14">
        <v>2283292</v>
      </c>
      <c r="E166" s="14">
        <v>1744350</v>
      </c>
      <c r="F166" s="15" t="s">
        <v>377</v>
      </c>
      <c r="G166" s="18"/>
      <c r="H166" s="18" t="s">
        <v>17</v>
      </c>
      <c r="I166" s="18"/>
      <c r="J166" s="12"/>
      <c r="K166" s="12"/>
      <c r="L166" s="12" t="str">
        <f>IF(COUNTIFS(Table83[[#This Row],[Base Table]:[Energy Table]],"y")&gt;0,"y")</f>
        <v>y</v>
      </c>
      <c r="M166" s="16" t="s">
        <v>40</v>
      </c>
      <c r="N166" s="17" t="s">
        <v>19</v>
      </c>
      <c r="O166" s="17" t="s">
        <v>32</v>
      </c>
      <c r="P166" s="4"/>
      <c r="AH166" s="7"/>
    </row>
    <row r="167" spans="1:34">
      <c r="A167" s="12" t="s">
        <v>378</v>
      </c>
      <c r="B167" s="13">
        <v>1</v>
      </c>
      <c r="C167" s="13">
        <v>1</v>
      </c>
      <c r="D167" s="14">
        <v>2283292</v>
      </c>
      <c r="E167" s="14">
        <v>1744350</v>
      </c>
      <c r="F167" s="15" t="s">
        <v>379</v>
      </c>
      <c r="G167" s="18"/>
      <c r="H167" s="18" t="s">
        <v>17</v>
      </c>
      <c r="I167" s="18"/>
      <c r="J167" s="12"/>
      <c r="K167" s="12"/>
      <c r="L167" s="12" t="str">
        <f>IF(COUNTIFS(Table83[[#This Row],[Base Table]:[Energy Table]],"y")&gt;0,"y")</f>
        <v>y</v>
      </c>
      <c r="M167" s="16" t="s">
        <v>199</v>
      </c>
      <c r="N167" s="17" t="s">
        <v>19</v>
      </c>
      <c r="O167" s="17" t="s">
        <v>32</v>
      </c>
      <c r="P167" s="4"/>
      <c r="AH167" s="7"/>
    </row>
    <row r="168" spans="1:34">
      <c r="A168" s="12" t="s">
        <v>380</v>
      </c>
      <c r="B168" s="13">
        <v>1</v>
      </c>
      <c r="C168" s="13">
        <v>1</v>
      </c>
      <c r="D168" s="14">
        <v>2283292</v>
      </c>
      <c r="E168" s="14">
        <v>1744350</v>
      </c>
      <c r="F168" s="15" t="s">
        <v>381</v>
      </c>
      <c r="G168" s="18"/>
      <c r="H168" s="18" t="s">
        <v>17</v>
      </c>
      <c r="I168" s="18"/>
      <c r="J168" s="12"/>
      <c r="K168" s="12"/>
      <c r="L168" s="12" t="str">
        <f>IF(COUNTIFS(Table83[[#This Row],[Base Table]:[Energy Table]],"y")&gt;0,"y")</f>
        <v>y</v>
      </c>
      <c r="M168" s="16" t="s">
        <v>35</v>
      </c>
      <c r="N168" s="17" t="s">
        <v>24</v>
      </c>
      <c r="O168" s="17" t="s">
        <v>32</v>
      </c>
      <c r="P168" s="4"/>
      <c r="AH168" s="7"/>
    </row>
    <row r="169" spans="1:34">
      <c r="A169" s="12" t="s">
        <v>382</v>
      </c>
      <c r="B169" s="13">
        <v>0.32700000000000001</v>
      </c>
      <c r="C169" s="13">
        <v>0.19600000000000001</v>
      </c>
      <c r="D169" s="14">
        <v>747074</v>
      </c>
      <c r="E169" s="14">
        <v>341779</v>
      </c>
      <c r="F169" s="15" t="s">
        <v>383</v>
      </c>
      <c r="G169" s="18"/>
      <c r="H169" s="18"/>
      <c r="I169" s="18"/>
      <c r="J169" s="12"/>
      <c r="K169" s="12"/>
      <c r="L169" s="12" t="b">
        <f>IF(COUNTIFS(Table83[[#This Row],[Base Table]:[Energy Table]],"y")&gt;0,"y")</f>
        <v>0</v>
      </c>
      <c r="M169" s="16" t="s">
        <v>346</v>
      </c>
      <c r="N169" s="17" t="s">
        <v>347</v>
      </c>
      <c r="O169" s="17" t="s">
        <v>32</v>
      </c>
      <c r="P169" s="4"/>
      <c r="AH169" s="7"/>
    </row>
    <row r="170" spans="1:34">
      <c r="A170" s="12" t="s">
        <v>384</v>
      </c>
      <c r="B170" s="13">
        <v>1</v>
      </c>
      <c r="C170" s="13">
        <v>1</v>
      </c>
      <c r="D170" s="14">
        <v>2283292</v>
      </c>
      <c r="E170" s="14">
        <v>1744350</v>
      </c>
      <c r="F170" s="15" t="s">
        <v>385</v>
      </c>
      <c r="G170" s="18"/>
      <c r="H170" s="18" t="s">
        <v>17</v>
      </c>
      <c r="I170" s="18"/>
      <c r="J170" s="12"/>
      <c r="K170" s="12"/>
      <c r="L170" s="12" t="str">
        <f>IF(COUNTIFS(Table83[[#This Row],[Base Table]:[Energy Table]],"y")&gt;0,"y")</f>
        <v>y</v>
      </c>
      <c r="M170" s="16" t="s">
        <v>35</v>
      </c>
      <c r="N170" s="17" t="s">
        <v>212</v>
      </c>
      <c r="O170" s="17" t="s">
        <v>32</v>
      </c>
      <c r="P170" s="4"/>
      <c r="AH170" s="7"/>
    </row>
    <row r="171" spans="1:34">
      <c r="A171" s="12" t="s">
        <v>386</v>
      </c>
      <c r="B171" s="13" t="e">
        <v>#N/A</v>
      </c>
      <c r="C171" s="13" t="e">
        <v>#N/A</v>
      </c>
      <c r="D171" s="14" t="e">
        <v>#N/A</v>
      </c>
      <c r="E171" s="14" t="e">
        <v>#N/A</v>
      </c>
      <c r="F171" s="15" t="s">
        <v>387</v>
      </c>
      <c r="G171" s="18"/>
      <c r="H171" s="18"/>
      <c r="I171" s="18"/>
      <c r="J171" s="12"/>
      <c r="K171" s="12"/>
      <c r="L171" s="12" t="b">
        <f>IF(COUNTIFS(Table83[[#This Row],[Base Table]:[Energy Table]],"y")&gt;0,"y")</f>
        <v>0</v>
      </c>
      <c r="M171" s="16" t="s">
        <v>35</v>
      </c>
      <c r="N171" s="17" t="s">
        <v>19</v>
      </c>
      <c r="O171" s="17" t="s">
        <v>32</v>
      </c>
      <c r="P171" s="4"/>
      <c r="AH171" s="7"/>
    </row>
    <row r="172" spans="1:34">
      <c r="A172" s="12" t="s">
        <v>388</v>
      </c>
      <c r="B172" s="13">
        <v>0.378</v>
      </c>
      <c r="C172" s="13">
        <v>0.35099999999999998</v>
      </c>
      <c r="D172" s="14">
        <v>863589</v>
      </c>
      <c r="E172" s="14">
        <v>611706</v>
      </c>
      <c r="F172" s="15" t="s">
        <v>389</v>
      </c>
      <c r="G172" s="18"/>
      <c r="H172" s="18" t="s">
        <v>17</v>
      </c>
      <c r="I172" s="18"/>
      <c r="J172" s="12"/>
      <c r="K172" s="12"/>
      <c r="L172" s="12" t="str">
        <f>IF(COUNTIFS(Table83[[#This Row],[Base Table]:[Energy Table]],"y")&gt;0,"y")</f>
        <v>y</v>
      </c>
      <c r="M172" s="16" t="s">
        <v>18</v>
      </c>
      <c r="N172" s="17" t="s">
        <v>53</v>
      </c>
      <c r="O172" s="17" t="s">
        <v>32</v>
      </c>
      <c r="P172" s="4"/>
      <c r="AH172" s="7"/>
    </row>
    <row r="173" spans="1:34">
      <c r="A173" s="12" t="s">
        <v>390</v>
      </c>
      <c r="B173" s="13">
        <v>0.378</v>
      </c>
      <c r="C173" s="13">
        <v>0.35099999999999998</v>
      </c>
      <c r="D173" s="14">
        <v>863589</v>
      </c>
      <c r="E173" s="14">
        <v>611706</v>
      </c>
      <c r="F173" s="15" t="s">
        <v>391</v>
      </c>
      <c r="G173" s="18"/>
      <c r="H173" s="18" t="s">
        <v>17</v>
      </c>
      <c r="I173" s="18"/>
      <c r="J173" s="12"/>
      <c r="K173" s="12"/>
      <c r="L173" s="12" t="str">
        <f>IF(COUNTIFS(Table83[[#This Row],[Base Table]:[Energy Table]],"y")&gt;0,"y")</f>
        <v>y</v>
      </c>
      <c r="M173" s="16" t="s">
        <v>18</v>
      </c>
      <c r="N173" s="17" t="s">
        <v>53</v>
      </c>
      <c r="O173" s="17" t="s">
        <v>32</v>
      </c>
      <c r="P173" s="4"/>
      <c r="AH173" s="7"/>
    </row>
    <row r="174" spans="1:34">
      <c r="A174" s="12" t="s">
        <v>392</v>
      </c>
      <c r="B174" s="13">
        <v>0.378</v>
      </c>
      <c r="C174" s="13">
        <v>0.35099999999999998</v>
      </c>
      <c r="D174" s="14">
        <v>863589</v>
      </c>
      <c r="E174" s="14">
        <v>611706</v>
      </c>
      <c r="F174" s="15" t="s">
        <v>393</v>
      </c>
      <c r="G174" s="18"/>
      <c r="H174" s="18" t="s">
        <v>17</v>
      </c>
      <c r="I174" s="18"/>
      <c r="J174" s="12"/>
      <c r="K174" s="12"/>
      <c r="L174" s="12" t="str">
        <f>IF(COUNTIFS(Table83[[#This Row],[Base Table]:[Energy Table]],"y")&gt;0,"y")</f>
        <v>y</v>
      </c>
      <c r="M174" s="16" t="s">
        <v>18</v>
      </c>
      <c r="N174" s="17" t="s">
        <v>53</v>
      </c>
      <c r="O174" s="17" t="s">
        <v>32</v>
      </c>
      <c r="P174" s="4"/>
      <c r="AH174" s="7"/>
    </row>
    <row r="175" spans="1:34">
      <c r="A175" s="12" t="s">
        <v>394</v>
      </c>
      <c r="B175" s="13">
        <v>0.378</v>
      </c>
      <c r="C175" s="13">
        <v>0.35099999999999998</v>
      </c>
      <c r="D175" s="14">
        <v>863589</v>
      </c>
      <c r="E175" s="14">
        <v>611706</v>
      </c>
      <c r="F175" s="15" t="s">
        <v>395</v>
      </c>
      <c r="G175" s="18"/>
      <c r="H175" s="18" t="s">
        <v>17</v>
      </c>
      <c r="I175" s="18"/>
      <c r="J175" s="12"/>
      <c r="K175" s="12"/>
      <c r="L175" s="12" t="str">
        <f>IF(COUNTIFS(Table83[[#This Row],[Base Table]:[Energy Table]],"y")&gt;0,"y")</f>
        <v>y</v>
      </c>
      <c r="M175" s="16" t="s">
        <v>18</v>
      </c>
      <c r="N175" s="17" t="s">
        <v>53</v>
      </c>
      <c r="O175" s="17" t="s">
        <v>32</v>
      </c>
      <c r="P175" s="4"/>
      <c r="AH175" s="7"/>
    </row>
    <row r="176" spans="1:34">
      <c r="A176" s="12" t="s">
        <v>396</v>
      </c>
      <c r="B176" s="13">
        <v>1</v>
      </c>
      <c r="C176" s="13">
        <v>1</v>
      </c>
      <c r="D176" s="14">
        <v>2283292</v>
      </c>
      <c r="E176" s="14">
        <v>1744350</v>
      </c>
      <c r="F176" s="15" t="s">
        <v>397</v>
      </c>
      <c r="G176" s="18"/>
      <c r="H176" s="18" t="s">
        <v>17</v>
      </c>
      <c r="I176" s="18"/>
      <c r="J176" s="12"/>
      <c r="K176" s="12"/>
      <c r="L176" s="12" t="str">
        <f>IF(COUNTIFS(Table83[[#This Row],[Base Table]:[Energy Table]],"y")&gt;0,"y")</f>
        <v>y</v>
      </c>
      <c r="M176" s="16" t="s">
        <v>18</v>
      </c>
      <c r="N176" s="17" t="s">
        <v>24</v>
      </c>
      <c r="O176" s="17" t="s">
        <v>32</v>
      </c>
      <c r="P176" s="4"/>
      <c r="AH176" s="7"/>
    </row>
    <row r="177" spans="1:34">
      <c r="A177" s="12" t="s">
        <v>398</v>
      </c>
      <c r="B177" s="13">
        <v>1</v>
      </c>
      <c r="C177" s="13">
        <v>1</v>
      </c>
      <c r="D177" s="14">
        <v>2283292</v>
      </c>
      <c r="E177" s="14">
        <v>1744350</v>
      </c>
      <c r="F177" s="15" t="s">
        <v>399</v>
      </c>
      <c r="G177" s="18"/>
      <c r="H177" s="18" t="s">
        <v>17</v>
      </c>
      <c r="I177" s="18"/>
      <c r="J177" s="12"/>
      <c r="K177" s="12"/>
      <c r="L177" s="12" t="str">
        <f>IF(COUNTIFS(Table83[[#This Row],[Base Table]:[Energy Table]],"y")&gt;0,"y")</f>
        <v>y</v>
      </c>
      <c r="M177" s="16" t="s">
        <v>18</v>
      </c>
      <c r="N177" s="17" t="s">
        <v>24</v>
      </c>
      <c r="O177" s="17" t="s">
        <v>32</v>
      </c>
      <c r="P177" s="4"/>
      <c r="AH177" s="7"/>
    </row>
    <row r="178" spans="1:34">
      <c r="A178" s="12" t="s">
        <v>400</v>
      </c>
      <c r="B178" s="13">
        <v>1</v>
      </c>
      <c r="C178" s="13">
        <v>1</v>
      </c>
      <c r="D178" s="14">
        <v>2283292</v>
      </c>
      <c r="E178" s="14">
        <v>1744350</v>
      </c>
      <c r="F178" s="15" t="s">
        <v>401</v>
      </c>
      <c r="G178" s="18"/>
      <c r="H178" s="18"/>
      <c r="I178" s="18"/>
      <c r="J178" s="12"/>
      <c r="K178" s="12"/>
      <c r="L178" s="12" t="b">
        <f>IF(COUNTIFS(Table83[[#This Row],[Base Table]:[Energy Table]],"y")&gt;0,"y")</f>
        <v>0</v>
      </c>
      <c r="M178" s="16" t="s">
        <v>18</v>
      </c>
      <c r="N178" s="17" t="s">
        <v>24</v>
      </c>
      <c r="O178" s="17" t="s">
        <v>32</v>
      </c>
      <c r="P178" s="4"/>
      <c r="AH178" s="7"/>
    </row>
    <row r="179" spans="1:34">
      <c r="A179" s="12" t="s">
        <v>402</v>
      </c>
      <c r="B179" s="13">
        <v>1</v>
      </c>
      <c r="C179" s="13">
        <v>1</v>
      </c>
      <c r="D179" s="14">
        <v>2283292</v>
      </c>
      <c r="E179" s="14">
        <v>1744350</v>
      </c>
      <c r="F179" s="15" t="s">
        <v>403</v>
      </c>
      <c r="G179" s="18"/>
      <c r="H179" s="18" t="s">
        <v>17</v>
      </c>
      <c r="I179" s="18"/>
      <c r="J179" s="12"/>
      <c r="K179" s="12"/>
      <c r="L179" s="12" t="str">
        <f>IF(COUNTIFS(Table83[[#This Row],[Base Table]:[Energy Table]],"y")&gt;0,"y")</f>
        <v>y</v>
      </c>
      <c r="M179" s="16" t="s">
        <v>18</v>
      </c>
      <c r="N179" s="17" t="s">
        <v>24</v>
      </c>
      <c r="O179" s="17" t="s">
        <v>32</v>
      </c>
      <c r="P179" s="4"/>
      <c r="AH179" s="7"/>
    </row>
    <row r="180" spans="1:34">
      <c r="A180" s="12" t="s">
        <v>404</v>
      </c>
      <c r="B180" s="13">
        <v>1</v>
      </c>
      <c r="C180" s="13">
        <v>1</v>
      </c>
      <c r="D180" s="14">
        <v>2283292</v>
      </c>
      <c r="E180" s="14">
        <v>1744350</v>
      </c>
      <c r="F180" s="15" t="s">
        <v>405</v>
      </c>
      <c r="G180" s="18"/>
      <c r="H180" s="18" t="s">
        <v>17</v>
      </c>
      <c r="I180" s="18"/>
      <c r="J180" s="12"/>
      <c r="K180" s="12"/>
      <c r="L180" s="12" t="str">
        <f>IF(COUNTIFS(Table83[[#This Row],[Base Table]:[Energy Table]],"y")&gt;0,"y")</f>
        <v>y</v>
      </c>
      <c r="M180" s="16" t="s">
        <v>18</v>
      </c>
      <c r="N180" s="17" t="s">
        <v>24</v>
      </c>
      <c r="O180" s="17" t="s">
        <v>32</v>
      </c>
      <c r="P180" s="4"/>
      <c r="AH180" s="7"/>
    </row>
    <row r="181" spans="1:34">
      <c r="A181" s="12" t="s">
        <v>406</v>
      </c>
      <c r="B181" s="13">
        <v>1</v>
      </c>
      <c r="C181" s="13">
        <v>1</v>
      </c>
      <c r="D181" s="14">
        <v>2283292</v>
      </c>
      <c r="E181" s="14">
        <v>1744350</v>
      </c>
      <c r="F181" s="15" t="s">
        <v>407</v>
      </c>
      <c r="G181" s="18"/>
      <c r="H181" s="18" t="s">
        <v>17</v>
      </c>
      <c r="I181" s="18"/>
      <c r="J181" s="12"/>
      <c r="K181" s="12"/>
      <c r="L181" s="12" t="str">
        <f>IF(COUNTIFS(Table83[[#This Row],[Base Table]:[Energy Table]],"y")&gt;0,"y")</f>
        <v>y</v>
      </c>
      <c r="M181" s="16" t="s">
        <v>18</v>
      </c>
      <c r="N181" s="17" t="s">
        <v>24</v>
      </c>
      <c r="O181" s="17" t="s">
        <v>32</v>
      </c>
      <c r="P181" s="4"/>
      <c r="AH181" s="7"/>
    </row>
    <row r="182" spans="1:34">
      <c r="A182" s="12" t="s">
        <v>408</v>
      </c>
      <c r="B182" s="13">
        <v>1</v>
      </c>
      <c r="C182" s="13">
        <v>1</v>
      </c>
      <c r="D182" s="14">
        <v>2283292</v>
      </c>
      <c r="E182" s="14">
        <v>1744350</v>
      </c>
      <c r="F182" s="15" t="s">
        <v>409</v>
      </c>
      <c r="G182" s="18"/>
      <c r="H182" s="18"/>
      <c r="I182" s="18"/>
      <c r="J182" s="12"/>
      <c r="K182" s="12"/>
      <c r="L182" s="12" t="b">
        <f>IF(COUNTIFS(Table83[[#This Row],[Base Table]:[Energy Table]],"y")&gt;0,"y")</f>
        <v>0</v>
      </c>
      <c r="M182" s="16" t="s">
        <v>18</v>
      </c>
      <c r="N182" s="17" t="s">
        <v>24</v>
      </c>
      <c r="O182" s="17" t="s">
        <v>32</v>
      </c>
      <c r="P182" s="4"/>
      <c r="AH182" s="7"/>
    </row>
    <row r="183" spans="1:34">
      <c r="A183" s="12" t="s">
        <v>410</v>
      </c>
      <c r="B183" s="13">
        <v>1</v>
      </c>
      <c r="C183" s="13">
        <v>1</v>
      </c>
      <c r="D183" s="14">
        <v>2283292</v>
      </c>
      <c r="E183" s="14">
        <v>1744350</v>
      </c>
      <c r="F183" s="15" t="s">
        <v>411</v>
      </c>
      <c r="G183" s="18"/>
      <c r="H183" s="18"/>
      <c r="I183" s="18"/>
      <c r="J183" s="12"/>
      <c r="K183" s="12"/>
      <c r="L183" s="12" t="b">
        <f>IF(COUNTIFS(Table83[[#This Row],[Base Table]:[Energy Table]],"y")&gt;0,"y")</f>
        <v>0</v>
      </c>
      <c r="M183" s="16" t="s">
        <v>18</v>
      </c>
      <c r="N183" s="17" t="s">
        <v>24</v>
      </c>
      <c r="O183" s="17" t="s">
        <v>32</v>
      </c>
      <c r="P183" s="4"/>
      <c r="AH183" s="7"/>
    </row>
    <row r="184" spans="1:34" ht="26.1">
      <c r="A184" s="12" t="s">
        <v>412</v>
      </c>
      <c r="B184" s="13">
        <v>0.378</v>
      </c>
      <c r="C184" s="13">
        <v>0.35</v>
      </c>
      <c r="D184" s="14">
        <v>862367</v>
      </c>
      <c r="E184" s="14">
        <v>610011</v>
      </c>
      <c r="F184" s="15" t="s">
        <v>413</v>
      </c>
      <c r="G184" s="18"/>
      <c r="H184" s="18"/>
      <c r="I184" s="18"/>
      <c r="J184" s="12"/>
      <c r="K184" s="12"/>
      <c r="L184" s="12" t="b">
        <f>IF(COUNTIFS(Table83[[#This Row],[Base Table]:[Energy Table]],"y")&gt;0,"y")</f>
        <v>0</v>
      </c>
      <c r="M184" s="16" t="s">
        <v>56</v>
      </c>
      <c r="N184" s="17" t="s">
        <v>53</v>
      </c>
      <c r="O184" s="17" t="s">
        <v>32</v>
      </c>
      <c r="P184" s="4"/>
      <c r="AH184" s="7"/>
    </row>
    <row r="185" spans="1:34">
      <c r="A185" s="12" t="s">
        <v>414</v>
      </c>
      <c r="B185" s="13">
        <v>0.3</v>
      </c>
      <c r="C185" s="13">
        <v>0.184</v>
      </c>
      <c r="D185" s="14">
        <v>686124</v>
      </c>
      <c r="E185" s="14">
        <v>320962</v>
      </c>
      <c r="F185" s="15" t="s">
        <v>415</v>
      </c>
      <c r="G185" s="18"/>
      <c r="H185" s="18"/>
      <c r="I185" s="18"/>
      <c r="J185" s="12"/>
      <c r="K185" s="12"/>
      <c r="L185" s="12" t="b">
        <f>IF(COUNTIFS(Table83[[#This Row],[Base Table]:[Energy Table]],"y")&gt;0,"y")</f>
        <v>0</v>
      </c>
      <c r="M185" s="16" t="s">
        <v>23</v>
      </c>
      <c r="N185" s="17" t="s">
        <v>24</v>
      </c>
      <c r="O185" s="17" t="s">
        <v>32</v>
      </c>
      <c r="P185" s="4"/>
      <c r="AH185" s="7"/>
    </row>
    <row r="186" spans="1:34">
      <c r="A186" s="12" t="s">
        <v>416</v>
      </c>
      <c r="B186" s="13">
        <v>1</v>
      </c>
      <c r="C186" s="13">
        <v>1</v>
      </c>
      <c r="D186" s="14">
        <v>2283292</v>
      </c>
      <c r="E186" s="14">
        <v>1744350</v>
      </c>
      <c r="F186" s="15" t="s">
        <v>417</v>
      </c>
      <c r="G186" s="18"/>
      <c r="H186" s="18" t="s">
        <v>17</v>
      </c>
      <c r="I186" s="18"/>
      <c r="J186" s="12"/>
      <c r="K186" s="12"/>
      <c r="L186" s="12" t="str">
        <f>IF(COUNTIFS(Table83[[#This Row],[Base Table]:[Energy Table]],"y")&gt;0,"y")</f>
        <v>y</v>
      </c>
      <c r="M186" s="16" t="s">
        <v>35</v>
      </c>
      <c r="N186" s="17" t="s">
        <v>19</v>
      </c>
      <c r="O186" s="17" t="s">
        <v>32</v>
      </c>
      <c r="P186" s="4"/>
      <c r="AH186" s="7"/>
    </row>
    <row r="187" spans="1:34">
      <c r="A187" s="12" t="s">
        <v>418</v>
      </c>
      <c r="B187" s="13">
        <v>1</v>
      </c>
      <c r="C187" s="13">
        <v>1</v>
      </c>
      <c r="D187" s="14">
        <v>2283292</v>
      </c>
      <c r="E187" s="14">
        <v>1744350</v>
      </c>
      <c r="F187" s="15" t="s">
        <v>419</v>
      </c>
      <c r="G187" s="18"/>
      <c r="H187" s="18"/>
      <c r="I187" s="18"/>
      <c r="J187" s="12"/>
      <c r="K187" s="12"/>
      <c r="L187" s="12" t="b">
        <f>IF(COUNTIFS(Table83[[#This Row],[Base Table]:[Energy Table]],"y")&gt;0,"y")</f>
        <v>0</v>
      </c>
      <c r="M187" s="16" t="s">
        <v>18</v>
      </c>
      <c r="N187" s="17" t="s">
        <v>24</v>
      </c>
      <c r="O187" s="17" t="s">
        <v>32</v>
      </c>
      <c r="P187" s="4"/>
      <c r="AH187" s="7"/>
    </row>
    <row r="188" spans="1:34">
      <c r="A188" s="12" t="s">
        <v>420</v>
      </c>
      <c r="B188" s="13">
        <v>1</v>
      </c>
      <c r="C188" s="13">
        <v>1</v>
      </c>
      <c r="D188" s="14">
        <v>2283288</v>
      </c>
      <c r="E188" s="14">
        <v>1744350</v>
      </c>
      <c r="F188" s="15" t="s">
        <v>421</v>
      </c>
      <c r="G188" s="18"/>
      <c r="H188" s="18" t="s">
        <v>17</v>
      </c>
      <c r="I188" s="18"/>
      <c r="J188" s="12"/>
      <c r="K188" s="12"/>
      <c r="L188" s="12" t="str">
        <f>IF(COUNTIFS(Table83[[#This Row],[Base Table]:[Energy Table]],"y")&gt;0,"y")</f>
        <v>y</v>
      </c>
      <c r="M188" s="16" t="s">
        <v>40</v>
      </c>
      <c r="N188" s="17" t="s">
        <v>19</v>
      </c>
      <c r="O188" s="17" t="s">
        <v>32</v>
      </c>
      <c r="P188" s="4"/>
      <c r="AH188" s="7"/>
    </row>
    <row r="189" spans="1:34">
      <c r="A189" s="12" t="s">
        <v>422</v>
      </c>
      <c r="B189" s="13">
        <v>1</v>
      </c>
      <c r="C189" s="13">
        <v>1</v>
      </c>
      <c r="D189" s="14">
        <v>2283292</v>
      </c>
      <c r="E189" s="14">
        <v>1744350</v>
      </c>
      <c r="F189" s="15" t="s">
        <v>423</v>
      </c>
      <c r="G189" s="18"/>
      <c r="H189" s="18" t="s">
        <v>17</v>
      </c>
      <c r="I189" s="18"/>
      <c r="J189" s="12"/>
      <c r="K189" s="12"/>
      <c r="L189" s="12" t="str">
        <f>IF(COUNTIFS(Table83[[#This Row],[Base Table]:[Energy Table]],"y")&gt;0,"y")</f>
        <v>y</v>
      </c>
      <c r="M189" s="16" t="s">
        <v>35</v>
      </c>
      <c r="N189" s="17" t="s">
        <v>19</v>
      </c>
      <c r="O189" s="17" t="s">
        <v>32</v>
      </c>
      <c r="P189" s="4"/>
      <c r="AH189" s="7"/>
    </row>
    <row r="190" spans="1:34">
      <c r="A190" s="12" t="s">
        <v>424</v>
      </c>
      <c r="B190" s="13">
        <v>0.55800000000000005</v>
      </c>
      <c r="C190" s="13">
        <v>0.54</v>
      </c>
      <c r="D190" s="14">
        <v>1274939</v>
      </c>
      <c r="E190" s="14">
        <v>941992</v>
      </c>
      <c r="F190" s="15" t="s">
        <v>425</v>
      </c>
      <c r="G190" s="18"/>
      <c r="H190" s="18"/>
      <c r="I190" s="18" t="s">
        <v>17</v>
      </c>
      <c r="J190" s="12"/>
      <c r="K190" s="12"/>
      <c r="L190" s="12" t="str">
        <f>IF(COUNTIFS(Table83[[#This Row],[Base Table]:[Energy Table]],"y")&gt;0,"y")</f>
        <v>y</v>
      </c>
      <c r="M190" s="16" t="s">
        <v>35</v>
      </c>
      <c r="N190" s="17" t="s">
        <v>49</v>
      </c>
      <c r="O190" s="17" t="s">
        <v>32</v>
      </c>
      <c r="P190" s="4"/>
      <c r="AH190" s="7"/>
    </row>
    <row r="191" spans="1:34">
      <c r="A191" s="12" t="s">
        <v>426</v>
      </c>
      <c r="B191" s="13">
        <v>0.55800000000000005</v>
      </c>
      <c r="C191" s="13">
        <v>0.54</v>
      </c>
      <c r="D191" s="14">
        <v>1274939</v>
      </c>
      <c r="E191" s="14">
        <v>941992</v>
      </c>
      <c r="F191" s="15" t="s">
        <v>427</v>
      </c>
      <c r="G191" s="18"/>
      <c r="H191" s="18"/>
      <c r="I191" s="18" t="s">
        <v>17</v>
      </c>
      <c r="J191" s="12"/>
      <c r="K191" s="12"/>
      <c r="L191" s="12" t="str">
        <f>IF(COUNTIFS(Table83[[#This Row],[Base Table]:[Energy Table]],"y")&gt;0,"y")</f>
        <v>y</v>
      </c>
      <c r="M191" s="16" t="s">
        <v>35</v>
      </c>
      <c r="N191" s="17" t="s">
        <v>49</v>
      </c>
      <c r="O191" s="17" t="s">
        <v>32</v>
      </c>
      <c r="P191" s="4"/>
      <c r="AH191" s="7"/>
    </row>
    <row r="192" spans="1:34" ht="90.95">
      <c r="A192" s="12" t="s">
        <v>428</v>
      </c>
      <c r="B192" s="13">
        <v>0.91500000000000004</v>
      </c>
      <c r="C192" s="13">
        <v>0.92500000000000004</v>
      </c>
      <c r="D192" s="14">
        <v>2089078</v>
      </c>
      <c r="E192" s="14">
        <v>1613423</v>
      </c>
      <c r="F192" s="15" t="s">
        <v>429</v>
      </c>
      <c r="G192" s="18"/>
      <c r="H192" s="18"/>
      <c r="I192" s="18"/>
      <c r="J192" s="12"/>
      <c r="K192" s="12"/>
      <c r="L192" s="12" t="b">
        <f>IF(COUNTIFS(Table83[[#This Row],[Base Table]:[Energy Table]],"y")&gt;0,"y")</f>
        <v>0</v>
      </c>
      <c r="M192" s="16" t="s">
        <v>80</v>
      </c>
      <c r="N192" s="17" t="s">
        <v>24</v>
      </c>
      <c r="O192" s="17" t="s">
        <v>32</v>
      </c>
      <c r="P192" s="4"/>
      <c r="AH192" s="7"/>
    </row>
    <row r="193" spans="1:34">
      <c r="A193" s="12" t="s">
        <v>430</v>
      </c>
      <c r="B193" s="13">
        <v>1</v>
      </c>
      <c r="C193" s="13">
        <v>1</v>
      </c>
      <c r="D193" s="14">
        <v>2283292</v>
      </c>
      <c r="E193" s="14">
        <v>1744350</v>
      </c>
      <c r="F193" s="15" t="s">
        <v>431</v>
      </c>
      <c r="G193" s="18"/>
      <c r="H193" s="18" t="s">
        <v>17</v>
      </c>
      <c r="I193" s="18"/>
      <c r="J193" s="12"/>
      <c r="K193" s="12"/>
      <c r="L193" s="12" t="str">
        <f>IF(COUNTIFS(Table83[[#This Row],[Base Table]:[Energy Table]],"y")&gt;0,"y")</f>
        <v>y</v>
      </c>
      <c r="M193" s="16" t="s">
        <v>35</v>
      </c>
      <c r="N193" s="17" t="s">
        <v>19</v>
      </c>
      <c r="O193" s="17" t="s">
        <v>32</v>
      </c>
      <c r="P193" s="4"/>
      <c r="AH193" s="7"/>
    </row>
    <row r="194" spans="1:34">
      <c r="A194" s="12" t="s">
        <v>432</v>
      </c>
      <c r="B194" s="13">
        <v>1</v>
      </c>
      <c r="C194" s="13">
        <v>1</v>
      </c>
      <c r="D194" s="14">
        <v>2283292</v>
      </c>
      <c r="E194" s="14">
        <v>1744350</v>
      </c>
      <c r="F194" s="15" t="s">
        <v>433</v>
      </c>
      <c r="G194" s="18"/>
      <c r="H194" s="18" t="s">
        <v>17</v>
      </c>
      <c r="I194" s="18"/>
      <c r="J194" s="12"/>
      <c r="K194" s="12"/>
      <c r="L194" s="12" t="str">
        <f>IF(COUNTIFS(Table83[[#This Row],[Base Table]:[Energy Table]],"y")&gt;0,"y")</f>
        <v>y</v>
      </c>
      <c r="M194" s="16" t="s">
        <v>35</v>
      </c>
      <c r="N194" s="17" t="s">
        <v>19</v>
      </c>
      <c r="O194" s="17" t="s">
        <v>32</v>
      </c>
      <c r="P194" s="4"/>
      <c r="AH194" s="7"/>
    </row>
    <row r="195" spans="1:34">
      <c r="A195" s="12" t="s">
        <v>434</v>
      </c>
      <c r="B195" s="13">
        <v>0.38600000000000001</v>
      </c>
      <c r="C195" s="13">
        <v>0.309</v>
      </c>
      <c r="D195" s="14">
        <v>882120</v>
      </c>
      <c r="E195" s="14">
        <v>538936</v>
      </c>
      <c r="F195" s="15" t="s">
        <v>435</v>
      </c>
      <c r="G195" s="18"/>
      <c r="H195" s="18"/>
      <c r="I195" s="18"/>
      <c r="J195" s="12"/>
      <c r="K195" s="12"/>
      <c r="L195" s="12" t="b">
        <f>IF(COUNTIFS(Table83[[#This Row],[Base Table]:[Energy Table]],"y")&gt;0,"y")</f>
        <v>0</v>
      </c>
      <c r="M195" s="16" t="s">
        <v>48</v>
      </c>
      <c r="N195" s="17" t="s">
        <v>49</v>
      </c>
      <c r="O195" s="17" t="s">
        <v>32</v>
      </c>
      <c r="P195" s="4"/>
      <c r="AH195" s="7"/>
    </row>
    <row r="196" spans="1:34">
      <c r="A196" s="12" t="s">
        <v>436</v>
      </c>
      <c r="B196" s="13">
        <v>0.33400000000000002</v>
      </c>
      <c r="C196" s="13">
        <v>0.29899999999999999</v>
      </c>
      <c r="D196" s="14">
        <v>763455</v>
      </c>
      <c r="E196" s="14">
        <v>521006</v>
      </c>
      <c r="F196" s="15" t="s">
        <v>437</v>
      </c>
      <c r="G196" s="18"/>
      <c r="H196" s="18"/>
      <c r="I196" s="18"/>
      <c r="J196" s="12"/>
      <c r="K196" s="12"/>
      <c r="L196" s="12" t="b">
        <f>IF(COUNTIFS(Table83[[#This Row],[Base Table]:[Energy Table]],"y")&gt;0,"y")</f>
        <v>0</v>
      </c>
      <c r="M196" s="16" t="s">
        <v>48</v>
      </c>
      <c r="N196" s="17" t="s">
        <v>49</v>
      </c>
      <c r="O196" s="17" t="s">
        <v>32</v>
      </c>
      <c r="P196" s="4"/>
      <c r="AH196" s="7"/>
    </row>
    <row r="197" spans="1:34">
      <c r="A197" s="12" t="s">
        <v>438</v>
      </c>
      <c r="B197" s="13">
        <v>0.437</v>
      </c>
      <c r="C197" s="13">
        <v>0.312</v>
      </c>
      <c r="D197" s="14">
        <v>996800</v>
      </c>
      <c r="E197" s="14">
        <v>544740</v>
      </c>
      <c r="F197" s="15" t="s">
        <v>439</v>
      </c>
      <c r="G197" s="18"/>
      <c r="H197" s="18"/>
      <c r="I197" s="18"/>
      <c r="J197" s="12"/>
      <c r="K197" s="12"/>
      <c r="L197" s="12" t="b">
        <f>IF(COUNTIFS(Table83[[#This Row],[Base Table]:[Energy Table]],"y")&gt;0,"y")</f>
        <v>0</v>
      </c>
      <c r="M197" s="16" t="s">
        <v>48</v>
      </c>
      <c r="N197" s="17" t="s">
        <v>49</v>
      </c>
      <c r="O197" s="17" t="s">
        <v>32</v>
      </c>
      <c r="P197" s="4"/>
      <c r="AH197" s="7"/>
    </row>
    <row r="198" spans="1:34">
      <c r="A198" s="12" t="s">
        <v>440</v>
      </c>
      <c r="B198" s="13" t="e">
        <v>#N/A</v>
      </c>
      <c r="C198" s="13" t="e">
        <v>#N/A</v>
      </c>
      <c r="D198" s="14" t="e">
        <v>#N/A</v>
      </c>
      <c r="E198" s="14" t="e">
        <v>#N/A</v>
      </c>
      <c r="F198" s="15" t="s">
        <v>441</v>
      </c>
      <c r="G198" s="18"/>
      <c r="H198" s="18"/>
      <c r="I198" s="18"/>
      <c r="J198" s="12"/>
      <c r="K198" s="12"/>
      <c r="L198" s="12" t="b">
        <f>IF(COUNTIFS(Table83[[#This Row],[Base Table]:[Energy Table]],"y")&gt;0,"y")</f>
        <v>0</v>
      </c>
      <c r="M198" s="16" t="s">
        <v>48</v>
      </c>
      <c r="N198" s="17" t="s">
        <v>49</v>
      </c>
      <c r="O198" s="17" t="s">
        <v>32</v>
      </c>
      <c r="P198" s="4"/>
      <c r="AH198" s="7"/>
    </row>
    <row r="199" spans="1:34">
      <c r="A199" s="12" t="s">
        <v>442</v>
      </c>
      <c r="B199" s="13">
        <v>0.309</v>
      </c>
      <c r="C199" s="13">
        <v>0.29399999999999998</v>
      </c>
      <c r="D199" s="14">
        <v>705989</v>
      </c>
      <c r="E199" s="14">
        <v>513604</v>
      </c>
      <c r="F199" s="15" t="s">
        <v>443</v>
      </c>
      <c r="G199" s="18"/>
      <c r="H199" s="18"/>
      <c r="I199" s="18"/>
      <c r="J199" s="12"/>
      <c r="K199" s="12"/>
      <c r="L199" s="12" t="b">
        <f>IF(COUNTIFS(Table83[[#This Row],[Base Table]:[Energy Table]],"y")&gt;0,"y")</f>
        <v>0</v>
      </c>
      <c r="M199" s="16" t="s">
        <v>48</v>
      </c>
      <c r="N199" s="17" t="s">
        <v>49</v>
      </c>
      <c r="O199" s="17" t="s">
        <v>32</v>
      </c>
      <c r="P199" s="4"/>
      <c r="AH199" s="7"/>
    </row>
    <row r="200" spans="1:34">
      <c r="A200" s="12" t="s">
        <v>444</v>
      </c>
      <c r="B200" s="13">
        <v>0.34</v>
      </c>
      <c r="C200" s="13">
        <v>0.3</v>
      </c>
      <c r="D200" s="14">
        <v>776994</v>
      </c>
      <c r="E200" s="14">
        <v>523871</v>
      </c>
      <c r="F200" s="15" t="s">
        <v>445</v>
      </c>
      <c r="G200" s="18"/>
      <c r="H200" s="18"/>
      <c r="I200" s="18"/>
      <c r="J200" s="12"/>
      <c r="K200" s="12"/>
      <c r="L200" s="12" t="b">
        <f>IF(COUNTIFS(Table83[[#This Row],[Base Table]:[Energy Table]],"y")&gt;0,"y")</f>
        <v>0</v>
      </c>
      <c r="M200" s="16" t="s">
        <v>48</v>
      </c>
      <c r="N200" s="17" t="s">
        <v>49</v>
      </c>
      <c r="O200" s="17" t="s">
        <v>32</v>
      </c>
      <c r="P200" s="4"/>
      <c r="AH200" s="7"/>
    </row>
    <row r="201" spans="1:34">
      <c r="A201" s="12" t="s">
        <v>446</v>
      </c>
      <c r="B201" s="13">
        <v>0.372</v>
      </c>
      <c r="C201" s="13">
        <v>0.30599999999999999</v>
      </c>
      <c r="D201" s="14">
        <v>849429</v>
      </c>
      <c r="E201" s="14">
        <v>533620</v>
      </c>
      <c r="F201" s="15" t="s">
        <v>447</v>
      </c>
      <c r="G201" s="18"/>
      <c r="H201" s="18"/>
      <c r="I201" s="18"/>
      <c r="J201" s="12"/>
      <c r="K201" s="12"/>
      <c r="L201" s="12" t="b">
        <f>IF(COUNTIFS(Table83[[#This Row],[Base Table]:[Energy Table]],"y")&gt;0,"y")</f>
        <v>0</v>
      </c>
      <c r="M201" s="16" t="s">
        <v>48</v>
      </c>
      <c r="N201" s="17" t="s">
        <v>49</v>
      </c>
      <c r="O201" s="17" t="s">
        <v>32</v>
      </c>
      <c r="P201" s="4"/>
      <c r="AH201" s="7"/>
    </row>
    <row r="202" spans="1:34">
      <c r="A202" s="12" t="s">
        <v>448</v>
      </c>
      <c r="B202" s="13">
        <v>0.29799999999999999</v>
      </c>
      <c r="C202" s="13">
        <v>0.29199999999999998</v>
      </c>
      <c r="D202" s="14">
        <v>680450</v>
      </c>
      <c r="E202" s="14">
        <v>509898</v>
      </c>
      <c r="F202" s="15" t="s">
        <v>449</v>
      </c>
      <c r="G202" s="18"/>
      <c r="H202" s="18"/>
      <c r="I202" s="18"/>
      <c r="J202" s="12"/>
      <c r="K202" s="12"/>
      <c r="L202" s="12" t="b">
        <f>IF(COUNTIFS(Table83[[#This Row],[Base Table]:[Energy Table]],"y")&gt;0,"y")</f>
        <v>0</v>
      </c>
      <c r="M202" s="16" t="s">
        <v>48</v>
      </c>
      <c r="N202" s="17" t="s">
        <v>49</v>
      </c>
      <c r="O202" s="17" t="s">
        <v>32</v>
      </c>
      <c r="P202" s="4"/>
      <c r="AH202" s="7"/>
    </row>
    <row r="203" spans="1:34">
      <c r="A203" s="12" t="s">
        <v>450</v>
      </c>
      <c r="B203" s="13">
        <v>0.36</v>
      </c>
      <c r="C203" s="13">
        <v>0.30499999999999999</v>
      </c>
      <c r="D203" s="14">
        <v>821939</v>
      </c>
      <c r="E203" s="14">
        <v>531502</v>
      </c>
      <c r="F203" s="15" t="s">
        <v>451</v>
      </c>
      <c r="G203" s="18"/>
      <c r="H203" s="18"/>
      <c r="I203" s="18"/>
      <c r="J203" s="12"/>
      <c r="K203" s="12"/>
      <c r="L203" s="12" t="b">
        <f>IF(COUNTIFS(Table83[[#This Row],[Base Table]:[Energy Table]],"y")&gt;0,"y")</f>
        <v>0</v>
      </c>
      <c r="M203" s="16" t="s">
        <v>48</v>
      </c>
      <c r="N203" s="17" t="s">
        <v>49</v>
      </c>
      <c r="O203" s="17" t="s">
        <v>32</v>
      </c>
      <c r="P203" s="4"/>
      <c r="AH203" s="7"/>
    </row>
    <row r="204" spans="1:34">
      <c r="A204" s="12" t="s">
        <v>452</v>
      </c>
      <c r="B204" s="13">
        <v>0.36099999999999999</v>
      </c>
      <c r="C204" s="13">
        <v>0.30299999999999999</v>
      </c>
      <c r="D204" s="14">
        <v>825353</v>
      </c>
      <c r="E204" s="14">
        <v>528486</v>
      </c>
      <c r="F204" s="15" t="s">
        <v>453</v>
      </c>
      <c r="G204" s="18"/>
      <c r="H204" s="18"/>
      <c r="I204" s="18"/>
      <c r="J204" s="12"/>
      <c r="K204" s="12"/>
      <c r="L204" s="12" t="b">
        <f>IF(COUNTIFS(Table83[[#This Row],[Base Table]:[Energy Table]],"y")&gt;0,"y")</f>
        <v>0</v>
      </c>
      <c r="M204" s="16" t="s">
        <v>48</v>
      </c>
      <c r="N204" s="17" t="s">
        <v>49</v>
      </c>
      <c r="O204" s="17" t="s">
        <v>32</v>
      </c>
      <c r="P204" s="4"/>
      <c r="AH204" s="7"/>
    </row>
    <row r="205" spans="1:34">
      <c r="A205" s="12" t="s">
        <v>454</v>
      </c>
      <c r="B205" s="13">
        <v>0.30399999999999999</v>
      </c>
      <c r="C205" s="13">
        <v>0.29299999999999998</v>
      </c>
      <c r="D205" s="14">
        <v>694670</v>
      </c>
      <c r="E205" s="14">
        <v>511374</v>
      </c>
      <c r="F205" s="15" t="s">
        <v>455</v>
      </c>
      <c r="G205" s="18"/>
      <c r="H205" s="18"/>
      <c r="I205" s="18"/>
      <c r="J205" s="12"/>
      <c r="K205" s="12"/>
      <c r="L205" s="12" t="b">
        <f>IF(COUNTIFS(Table83[[#This Row],[Base Table]:[Energy Table]],"y")&gt;0,"y")</f>
        <v>0</v>
      </c>
      <c r="M205" s="16" t="s">
        <v>48</v>
      </c>
      <c r="N205" s="17" t="s">
        <v>49</v>
      </c>
      <c r="O205" s="17" t="s">
        <v>32</v>
      </c>
      <c r="P205" s="4"/>
      <c r="AH205" s="7"/>
    </row>
    <row r="206" spans="1:34">
      <c r="A206" s="12" t="s">
        <v>456</v>
      </c>
      <c r="B206" s="13">
        <v>0.40300000000000002</v>
      </c>
      <c r="C206" s="13">
        <v>0.308</v>
      </c>
      <c r="D206" s="14">
        <v>919115</v>
      </c>
      <c r="E206" s="14">
        <v>537371</v>
      </c>
      <c r="F206" s="15" t="s">
        <v>457</v>
      </c>
      <c r="G206" s="18"/>
      <c r="H206" s="18"/>
      <c r="I206" s="18"/>
      <c r="J206" s="12"/>
      <c r="K206" s="12"/>
      <c r="L206" s="12" t="b">
        <f>IF(COUNTIFS(Table83[[#This Row],[Base Table]:[Energy Table]],"y")&gt;0,"y")</f>
        <v>0</v>
      </c>
      <c r="M206" s="16" t="s">
        <v>48</v>
      </c>
      <c r="N206" s="17" t="s">
        <v>49</v>
      </c>
      <c r="O206" s="17" t="s">
        <v>32</v>
      </c>
      <c r="P206" s="4"/>
      <c r="AH206" s="7"/>
    </row>
    <row r="207" spans="1:34">
      <c r="A207" s="12" t="s">
        <v>458</v>
      </c>
      <c r="B207" s="13">
        <v>0.45300000000000001</v>
      </c>
      <c r="C207" s="13">
        <v>0.317</v>
      </c>
      <c r="D207" s="14">
        <v>1034742</v>
      </c>
      <c r="E207" s="14">
        <v>552339</v>
      </c>
      <c r="F207" s="15" t="s">
        <v>459</v>
      </c>
      <c r="G207" s="18"/>
      <c r="H207" s="18"/>
      <c r="I207" s="18"/>
      <c r="J207" s="12"/>
      <c r="K207" s="12"/>
      <c r="L207" s="12" t="b">
        <f>IF(COUNTIFS(Table83[[#This Row],[Base Table]:[Energy Table]],"y")&gt;0,"y")</f>
        <v>0</v>
      </c>
      <c r="M207" s="16" t="s">
        <v>48</v>
      </c>
      <c r="N207" s="17" t="s">
        <v>49</v>
      </c>
      <c r="O207" s="17" t="s">
        <v>32</v>
      </c>
      <c r="P207" s="4"/>
      <c r="AH207" s="7"/>
    </row>
    <row r="208" spans="1:34">
      <c r="A208" s="12" t="s">
        <v>460</v>
      </c>
      <c r="B208" s="13">
        <v>0.55800000000000005</v>
      </c>
      <c r="C208" s="13">
        <v>0.54</v>
      </c>
      <c r="D208" s="14">
        <v>1274939</v>
      </c>
      <c r="E208" s="14">
        <v>941992</v>
      </c>
      <c r="F208" s="15" t="s">
        <v>461</v>
      </c>
      <c r="G208" s="18"/>
      <c r="H208" s="18"/>
      <c r="I208" s="18"/>
      <c r="J208" s="12"/>
      <c r="K208" s="12"/>
      <c r="L208" s="12" t="b">
        <f>IF(COUNTIFS(Table83[[#This Row],[Base Table]:[Energy Table]],"y")&gt;0,"y")</f>
        <v>0</v>
      </c>
      <c r="M208" s="16" t="s">
        <v>18</v>
      </c>
      <c r="N208" s="17" t="s">
        <v>49</v>
      </c>
      <c r="O208" s="17" t="s">
        <v>32</v>
      </c>
      <c r="P208" s="4"/>
      <c r="AH208" s="7"/>
    </row>
    <row r="209" spans="1:34">
      <c r="A209" s="12" t="s">
        <v>462</v>
      </c>
      <c r="B209" s="13">
        <v>1</v>
      </c>
      <c r="C209" s="13">
        <v>1</v>
      </c>
      <c r="D209" s="14">
        <v>2283292</v>
      </c>
      <c r="E209" s="14">
        <v>1744350</v>
      </c>
      <c r="F209" s="15" t="s">
        <v>463</v>
      </c>
      <c r="G209" s="18"/>
      <c r="H209" s="18"/>
      <c r="I209" s="18"/>
      <c r="J209" s="12"/>
      <c r="K209" s="12"/>
      <c r="L209" s="12" t="b">
        <f>IF(COUNTIFS(Table83[[#This Row],[Base Table]:[Energy Table]],"y")&gt;0,"y")</f>
        <v>0</v>
      </c>
      <c r="M209" s="16" t="s">
        <v>199</v>
      </c>
      <c r="N209" s="17" t="s">
        <v>19</v>
      </c>
      <c r="O209" s="17" t="s">
        <v>32</v>
      </c>
      <c r="P209" s="4"/>
      <c r="AH209" s="7"/>
    </row>
    <row r="210" spans="1:34">
      <c r="A210" s="12" t="s">
        <v>464</v>
      </c>
      <c r="B210" s="13">
        <v>0</v>
      </c>
      <c r="C210" s="13">
        <v>1E-3</v>
      </c>
      <c r="D210" s="14">
        <v>176</v>
      </c>
      <c r="E210" s="14">
        <v>1838</v>
      </c>
      <c r="F210" s="15" t="s">
        <v>465</v>
      </c>
      <c r="G210" s="18"/>
      <c r="H210" s="18"/>
      <c r="I210" s="18"/>
      <c r="J210" s="12"/>
      <c r="K210" s="12"/>
      <c r="L210" s="12" t="b">
        <f>IF(COUNTIFS(Table83[[#This Row],[Base Table]:[Energy Table]],"y")&gt;0,"y")</f>
        <v>0</v>
      </c>
      <c r="M210" s="16" t="s">
        <v>466</v>
      </c>
      <c r="N210" s="17" t="s">
        <v>212</v>
      </c>
      <c r="O210" s="17" t="s">
        <v>32</v>
      </c>
      <c r="P210" s="4"/>
      <c r="AH210" s="7"/>
    </row>
    <row r="211" spans="1:34">
      <c r="A211" s="12" t="s">
        <v>467</v>
      </c>
      <c r="B211" s="13">
        <v>9.6000000000000002E-2</v>
      </c>
      <c r="C211" s="13">
        <v>2.8000000000000001E-2</v>
      </c>
      <c r="D211" s="14">
        <v>218326</v>
      </c>
      <c r="E211" s="14">
        <v>49236</v>
      </c>
      <c r="F211" s="15" t="s">
        <v>468</v>
      </c>
      <c r="G211" s="18"/>
      <c r="H211" s="18"/>
      <c r="I211" s="18"/>
      <c r="J211" s="12"/>
      <c r="K211" s="12"/>
      <c r="L211" s="12" t="b">
        <f>IF(COUNTIFS(Table83[[#This Row],[Base Table]:[Energy Table]],"y")&gt;0,"y")</f>
        <v>0</v>
      </c>
      <c r="M211" s="16" t="s">
        <v>40</v>
      </c>
      <c r="N211" s="17" t="s">
        <v>19</v>
      </c>
      <c r="O211" s="17" t="s">
        <v>32</v>
      </c>
      <c r="P211" s="4"/>
      <c r="AH211" s="7"/>
    </row>
    <row r="212" spans="1:34">
      <c r="A212" s="12" t="s">
        <v>469</v>
      </c>
      <c r="B212" s="13">
        <v>1</v>
      </c>
      <c r="C212" s="13">
        <v>1</v>
      </c>
      <c r="D212" s="14">
        <v>2283292</v>
      </c>
      <c r="E212" s="14">
        <v>1744350</v>
      </c>
      <c r="F212" s="15" t="s">
        <v>470</v>
      </c>
      <c r="G212" s="18"/>
      <c r="H212" s="18"/>
      <c r="I212" s="18"/>
      <c r="J212" s="12"/>
      <c r="K212" s="12"/>
      <c r="L212" s="12" t="b">
        <f>IF(COUNTIFS(Table83[[#This Row],[Base Table]:[Energy Table]],"y")&gt;0,"y")</f>
        <v>0</v>
      </c>
      <c r="M212" s="16" t="s">
        <v>35</v>
      </c>
      <c r="N212" s="17" t="s">
        <v>19</v>
      </c>
      <c r="O212" s="17" t="s">
        <v>32</v>
      </c>
      <c r="P212" s="4"/>
      <c r="AH212" s="7"/>
    </row>
    <row r="213" spans="1:34">
      <c r="A213" s="12" t="s">
        <v>471</v>
      </c>
      <c r="B213" s="13">
        <v>0.70499999999999996</v>
      </c>
      <c r="C213" s="13">
        <v>0.59499999999999997</v>
      </c>
      <c r="D213" s="14">
        <v>1610112</v>
      </c>
      <c r="E213" s="14">
        <v>1037489</v>
      </c>
      <c r="F213" s="15" t="s">
        <v>472</v>
      </c>
      <c r="G213" s="18"/>
      <c r="H213" s="18" t="s">
        <v>17</v>
      </c>
      <c r="I213" s="18"/>
      <c r="J213" s="12"/>
      <c r="K213" s="12"/>
      <c r="L213" s="12" t="str">
        <f>IF(COUNTIFS(Table83[[#This Row],[Base Table]:[Energy Table]],"y")&gt;0,"y")</f>
        <v>y</v>
      </c>
      <c r="M213" s="16" t="s">
        <v>40</v>
      </c>
      <c r="N213" s="17" t="s">
        <v>19</v>
      </c>
      <c r="O213" s="17" t="s">
        <v>32</v>
      </c>
      <c r="P213" s="4"/>
      <c r="AH213" s="7"/>
    </row>
    <row r="214" spans="1:34">
      <c r="A214" s="12" t="s">
        <v>473</v>
      </c>
      <c r="B214" s="13">
        <v>0.70499999999999996</v>
      </c>
      <c r="C214" s="13">
        <v>0.59499999999999997</v>
      </c>
      <c r="D214" s="14">
        <v>1610816</v>
      </c>
      <c r="E214" s="14">
        <v>1037557</v>
      </c>
      <c r="F214" s="15" t="s">
        <v>474</v>
      </c>
      <c r="G214" s="18"/>
      <c r="H214" s="18" t="s">
        <v>17</v>
      </c>
      <c r="I214" s="18"/>
      <c r="J214" s="12"/>
      <c r="K214" s="12"/>
      <c r="L214" s="12" t="str">
        <f>IF(COUNTIFS(Table83[[#This Row],[Base Table]:[Energy Table]],"y")&gt;0,"y")</f>
        <v>y</v>
      </c>
      <c r="M214" s="16" t="s">
        <v>40</v>
      </c>
      <c r="N214" s="17" t="s">
        <v>19</v>
      </c>
      <c r="O214" s="17" t="s">
        <v>32</v>
      </c>
      <c r="P214" s="4"/>
      <c r="AH214" s="7"/>
    </row>
    <row r="215" spans="1:34">
      <c r="A215" s="12" t="s">
        <v>475</v>
      </c>
      <c r="B215" s="13">
        <v>1</v>
      </c>
      <c r="C215" s="13">
        <v>1</v>
      </c>
      <c r="D215" s="14">
        <v>2283292</v>
      </c>
      <c r="E215" s="14">
        <v>1744350</v>
      </c>
      <c r="F215" s="15" t="s">
        <v>476</v>
      </c>
      <c r="G215" s="18"/>
      <c r="H215" s="18" t="s">
        <v>17</v>
      </c>
      <c r="I215" s="18"/>
      <c r="J215" s="12"/>
      <c r="K215" s="12"/>
      <c r="L215" s="12" t="str">
        <f>IF(COUNTIFS(Table83[[#This Row],[Base Table]:[Energy Table]],"y")&gt;0,"y")</f>
        <v>y</v>
      </c>
      <c r="M215" s="16" t="s">
        <v>35</v>
      </c>
      <c r="N215" s="17" t="s">
        <v>19</v>
      </c>
      <c r="O215" s="17" t="s">
        <v>32</v>
      </c>
      <c r="P215" s="4"/>
      <c r="AH215" s="7"/>
    </row>
    <row r="216" spans="1:34">
      <c r="A216" s="12" t="s">
        <v>477</v>
      </c>
      <c r="B216" s="13">
        <v>1</v>
      </c>
      <c r="C216" s="13">
        <v>1</v>
      </c>
      <c r="D216" s="14">
        <v>2283292</v>
      </c>
      <c r="E216" s="14">
        <v>1744350</v>
      </c>
      <c r="F216" s="15" t="s">
        <v>478</v>
      </c>
      <c r="G216" s="18"/>
      <c r="H216" s="18" t="s">
        <v>17</v>
      </c>
      <c r="I216" s="18"/>
      <c r="J216" s="12"/>
      <c r="K216" s="12"/>
      <c r="L216" s="12" t="str">
        <f>IF(COUNTIFS(Table83[[#This Row],[Base Table]:[Energy Table]],"y")&gt;0,"y")</f>
        <v>y</v>
      </c>
      <c r="M216" s="16" t="s">
        <v>35</v>
      </c>
      <c r="N216" s="17" t="s">
        <v>19</v>
      </c>
      <c r="O216" s="17" t="s">
        <v>32</v>
      </c>
      <c r="P216" s="4"/>
      <c r="AH216" s="7"/>
    </row>
    <row r="217" spans="1:34" ht="26.1">
      <c r="A217" s="12" t="s">
        <v>479</v>
      </c>
      <c r="B217" s="13">
        <v>0.998</v>
      </c>
      <c r="C217" s="13">
        <v>1</v>
      </c>
      <c r="D217" s="14">
        <v>2278296</v>
      </c>
      <c r="E217" s="14">
        <v>1744338</v>
      </c>
      <c r="F217" s="15" t="s">
        <v>480</v>
      </c>
      <c r="G217" s="18"/>
      <c r="H217" s="18"/>
      <c r="I217" s="18"/>
      <c r="J217" s="12"/>
      <c r="K217" s="12"/>
      <c r="L217" s="12" t="b">
        <f>IF(COUNTIFS(Table83[[#This Row],[Base Table]:[Energy Table]],"y")&gt;0,"y")</f>
        <v>0</v>
      </c>
      <c r="M217" s="16" t="s">
        <v>481</v>
      </c>
      <c r="N217" s="17" t="s">
        <v>24</v>
      </c>
      <c r="O217" s="17" t="s">
        <v>32</v>
      </c>
      <c r="P217" s="4"/>
      <c r="AH217" s="7"/>
    </row>
    <row r="218" spans="1:34">
      <c r="A218" s="12" t="s">
        <v>482</v>
      </c>
      <c r="B218" s="13">
        <v>1</v>
      </c>
      <c r="C218" s="13">
        <v>1</v>
      </c>
      <c r="D218" s="14">
        <v>2283292</v>
      </c>
      <c r="E218" s="14">
        <v>1744350</v>
      </c>
      <c r="F218" s="15" t="s">
        <v>483</v>
      </c>
      <c r="G218" s="18"/>
      <c r="H218" s="18"/>
      <c r="I218" s="18"/>
      <c r="J218" s="12"/>
      <c r="K218" s="12"/>
      <c r="L218" s="12" t="b">
        <f>IF(COUNTIFS(Table83[[#This Row],[Base Table]:[Energy Table]],"y")&gt;0,"y")</f>
        <v>0</v>
      </c>
      <c r="M218" s="16" t="s">
        <v>35</v>
      </c>
      <c r="N218" s="17" t="s">
        <v>19</v>
      </c>
      <c r="O218" s="17" t="s">
        <v>32</v>
      </c>
      <c r="P218" s="4"/>
      <c r="AH218" s="7"/>
    </row>
    <row r="219" spans="1:34">
      <c r="A219" s="12" t="s">
        <v>484</v>
      </c>
      <c r="B219" s="13">
        <v>0.378</v>
      </c>
      <c r="C219" s="13">
        <v>0.35</v>
      </c>
      <c r="D219" s="14">
        <v>862367</v>
      </c>
      <c r="E219" s="14">
        <v>610011</v>
      </c>
      <c r="F219" s="15" t="s">
        <v>485</v>
      </c>
      <c r="G219" s="18"/>
      <c r="H219" s="18"/>
      <c r="I219" s="18"/>
      <c r="J219" s="12"/>
      <c r="K219" s="12"/>
      <c r="L219" s="12" t="b">
        <f>IF(COUNTIFS(Table83[[#This Row],[Base Table]:[Energy Table]],"y")&gt;0,"y")</f>
        <v>0</v>
      </c>
      <c r="M219" s="16" t="s">
        <v>56</v>
      </c>
      <c r="N219" s="17" t="s">
        <v>53</v>
      </c>
      <c r="O219" s="17" t="s">
        <v>32</v>
      </c>
      <c r="P219" s="4"/>
    </row>
    <row r="220" spans="1:34" ht="26.1">
      <c r="A220" s="12" t="s">
        <v>486</v>
      </c>
      <c r="B220" s="13">
        <v>5.0000000000000001E-3</v>
      </c>
      <c r="C220" s="13">
        <v>3.0000000000000001E-3</v>
      </c>
      <c r="D220" s="14">
        <v>12491</v>
      </c>
      <c r="E220" s="14">
        <v>6057</v>
      </c>
      <c r="F220" s="15" t="s">
        <v>487</v>
      </c>
      <c r="G220" s="18"/>
      <c r="H220" s="18"/>
      <c r="I220" s="18"/>
      <c r="J220" s="12"/>
      <c r="K220" s="12"/>
      <c r="L220" s="12" t="b">
        <f>IF(COUNTIFS(Table83[[#This Row],[Base Table]:[Energy Table]],"y")&gt;0,"y")</f>
        <v>0</v>
      </c>
      <c r="M220" s="16" t="s">
        <v>488</v>
      </c>
      <c r="N220" s="17" t="s">
        <v>231</v>
      </c>
      <c r="O220" s="17" t="s">
        <v>32</v>
      </c>
      <c r="P220" s="4"/>
    </row>
    <row r="221" spans="1:34">
      <c r="A221" s="12" t="s">
        <v>489</v>
      </c>
      <c r="B221" s="13">
        <v>1</v>
      </c>
      <c r="C221" s="13">
        <v>1</v>
      </c>
      <c r="D221" s="14">
        <v>2283292</v>
      </c>
      <c r="E221" s="14">
        <v>1744350</v>
      </c>
      <c r="F221" s="15" t="s">
        <v>490</v>
      </c>
      <c r="G221" s="18"/>
      <c r="H221" s="18"/>
      <c r="I221" s="18" t="s">
        <v>17</v>
      </c>
      <c r="J221" s="12"/>
      <c r="K221" s="12"/>
      <c r="L221" s="12" t="str">
        <f>IF(COUNTIFS(Table83[[#This Row],[Base Table]:[Energy Table]],"y")&gt;0,"y")</f>
        <v>y</v>
      </c>
      <c r="M221" s="16" t="s">
        <v>35</v>
      </c>
      <c r="N221" s="17" t="s">
        <v>19</v>
      </c>
      <c r="O221" s="17" t="s">
        <v>32</v>
      </c>
      <c r="P221" s="4"/>
    </row>
    <row r="222" spans="1:34">
      <c r="A222" s="12" t="s">
        <v>491</v>
      </c>
      <c r="B222" s="13">
        <v>1</v>
      </c>
      <c r="C222" s="13">
        <v>1</v>
      </c>
      <c r="D222" s="14">
        <v>2283292</v>
      </c>
      <c r="E222" s="14">
        <v>1744350</v>
      </c>
      <c r="F222" s="15" t="s">
        <v>492</v>
      </c>
      <c r="G222" s="18"/>
      <c r="H222" s="18"/>
      <c r="I222" s="18" t="s">
        <v>17</v>
      </c>
      <c r="J222" s="12"/>
      <c r="K222" s="12"/>
      <c r="L222" s="12" t="str">
        <f>IF(COUNTIFS(Table83[[#This Row],[Base Table]:[Energy Table]],"y")&gt;0,"y")</f>
        <v>y</v>
      </c>
      <c r="M222" s="16" t="s">
        <v>35</v>
      </c>
      <c r="N222" s="17" t="s">
        <v>19</v>
      </c>
      <c r="O222" s="17" t="s">
        <v>32</v>
      </c>
      <c r="P222" s="4"/>
    </row>
    <row r="223" spans="1:34">
      <c r="A223" s="12" t="s">
        <v>493</v>
      </c>
      <c r="B223" s="13">
        <v>1</v>
      </c>
      <c r="C223" s="13">
        <v>1</v>
      </c>
      <c r="D223" s="14">
        <v>2283292</v>
      </c>
      <c r="E223" s="14">
        <v>1744350</v>
      </c>
      <c r="F223" s="15" t="s">
        <v>494</v>
      </c>
      <c r="G223" s="18"/>
      <c r="H223" s="18"/>
      <c r="I223" s="18" t="s">
        <v>17</v>
      </c>
      <c r="J223" s="12"/>
      <c r="K223" s="12"/>
      <c r="L223" s="12" t="str">
        <f>IF(COUNTIFS(Table83[[#This Row],[Base Table]:[Energy Table]],"y")&gt;0,"y")</f>
        <v>y</v>
      </c>
      <c r="M223" s="16" t="s">
        <v>35</v>
      </c>
      <c r="N223" s="17" t="s">
        <v>19</v>
      </c>
      <c r="O223" s="17" t="s">
        <v>32</v>
      </c>
      <c r="P223" s="4"/>
    </row>
    <row r="224" spans="1:34">
      <c r="A224" s="12" t="s">
        <v>495</v>
      </c>
      <c r="B224" s="13">
        <v>1</v>
      </c>
      <c r="C224" s="13">
        <v>1</v>
      </c>
      <c r="D224" s="14">
        <v>2283292</v>
      </c>
      <c r="E224" s="14">
        <v>1744350</v>
      </c>
      <c r="F224" s="15" t="s">
        <v>496</v>
      </c>
      <c r="G224" s="18"/>
      <c r="H224" s="18"/>
      <c r="I224" s="18" t="s">
        <v>17</v>
      </c>
      <c r="J224" s="12"/>
      <c r="K224" s="12"/>
      <c r="L224" s="12" t="str">
        <f>IF(COUNTIFS(Table83[[#This Row],[Base Table]:[Energy Table]],"y")&gt;0,"y")</f>
        <v>y</v>
      </c>
      <c r="M224" s="16" t="s">
        <v>35</v>
      </c>
      <c r="N224" s="17" t="s">
        <v>19</v>
      </c>
      <c r="O224" s="17" t="s">
        <v>32</v>
      </c>
      <c r="P224" s="4"/>
    </row>
    <row r="225" spans="1:16">
      <c r="A225" s="12" t="s">
        <v>497</v>
      </c>
      <c r="B225" s="13">
        <v>1</v>
      </c>
      <c r="C225" s="13">
        <v>1</v>
      </c>
      <c r="D225" s="14">
        <v>2283292</v>
      </c>
      <c r="E225" s="14">
        <v>1744350</v>
      </c>
      <c r="F225" s="15" t="s">
        <v>498</v>
      </c>
      <c r="G225" s="18"/>
      <c r="H225" s="18"/>
      <c r="I225" s="18" t="s">
        <v>17</v>
      </c>
      <c r="J225" s="12"/>
      <c r="K225" s="12"/>
      <c r="L225" s="12" t="str">
        <f>IF(COUNTIFS(Table83[[#This Row],[Base Table]:[Energy Table]],"y")&gt;0,"y")</f>
        <v>y</v>
      </c>
      <c r="M225" s="16" t="s">
        <v>35</v>
      </c>
      <c r="N225" s="17" t="s">
        <v>19</v>
      </c>
      <c r="O225" s="17" t="s">
        <v>32</v>
      </c>
      <c r="P225" s="4"/>
    </row>
    <row r="226" spans="1:16">
      <c r="A226" s="12" t="s">
        <v>499</v>
      </c>
      <c r="B226" s="13">
        <v>0.378</v>
      </c>
      <c r="C226" s="13">
        <v>0.35</v>
      </c>
      <c r="D226" s="14">
        <v>862367</v>
      </c>
      <c r="E226" s="14">
        <v>610011</v>
      </c>
      <c r="F226" s="15" t="s">
        <v>500</v>
      </c>
      <c r="G226" s="18"/>
      <c r="H226" s="18" t="s">
        <v>17</v>
      </c>
      <c r="I226" s="18"/>
      <c r="J226" s="12"/>
      <c r="K226" s="12"/>
      <c r="L226" s="12" t="str">
        <f>IF(COUNTIFS(Table83[[#This Row],[Base Table]:[Energy Table]],"y")&gt;0,"y")</f>
        <v>y</v>
      </c>
      <c r="M226" s="16" t="s">
        <v>56</v>
      </c>
      <c r="N226" s="17" t="s">
        <v>53</v>
      </c>
      <c r="O226" s="17" t="s">
        <v>32</v>
      </c>
      <c r="P226" s="4"/>
    </row>
    <row r="227" spans="1:16">
      <c r="A227" s="12" t="s">
        <v>501</v>
      </c>
      <c r="B227" s="13">
        <v>1</v>
      </c>
      <c r="C227" s="13">
        <v>1</v>
      </c>
      <c r="D227" s="14">
        <v>2283292</v>
      </c>
      <c r="E227" s="14">
        <v>1744349</v>
      </c>
      <c r="F227" s="15" t="s">
        <v>502</v>
      </c>
      <c r="G227" s="18"/>
      <c r="H227" s="18" t="s">
        <v>17</v>
      </c>
      <c r="I227" s="18"/>
      <c r="J227" s="12"/>
      <c r="K227" s="12"/>
      <c r="L227" s="12" t="str">
        <f>IF(COUNTIFS(Table83[[#This Row],[Base Table]:[Energy Table]],"y")&gt;0,"y")</f>
        <v>y</v>
      </c>
      <c r="M227" s="16" t="s">
        <v>35</v>
      </c>
      <c r="N227" s="17" t="s">
        <v>24</v>
      </c>
      <c r="O227" s="17" t="s">
        <v>32</v>
      </c>
      <c r="P227" s="4"/>
    </row>
    <row r="228" spans="1:16">
      <c r="A228" s="12" t="s">
        <v>503</v>
      </c>
      <c r="B228" s="13">
        <v>0.52300000000000002</v>
      </c>
      <c r="C228" s="13">
        <v>0.27700000000000002</v>
      </c>
      <c r="D228" s="14">
        <v>1194692</v>
      </c>
      <c r="E228" s="14">
        <v>482470</v>
      </c>
      <c r="F228" s="15" t="s">
        <v>504</v>
      </c>
      <c r="G228" s="18"/>
      <c r="H228" s="18"/>
      <c r="I228" s="18"/>
      <c r="J228" s="12"/>
      <c r="K228" s="12"/>
      <c r="L228" s="12" t="b">
        <f>IF(COUNTIFS(Table83[[#This Row],[Base Table]:[Energy Table]],"y")&gt;0,"y")</f>
        <v>0</v>
      </c>
      <c r="M228" s="16" t="s">
        <v>23</v>
      </c>
      <c r="N228" s="17" t="s">
        <v>24</v>
      </c>
      <c r="O228" s="17" t="s">
        <v>32</v>
      </c>
      <c r="P228" s="4"/>
    </row>
    <row r="229" spans="1:16">
      <c r="A229" s="12" t="s">
        <v>505</v>
      </c>
      <c r="B229" s="13">
        <v>0.998</v>
      </c>
      <c r="C229" s="13">
        <v>1</v>
      </c>
      <c r="D229" s="14">
        <v>2278175</v>
      </c>
      <c r="E229" s="14">
        <v>1744284</v>
      </c>
      <c r="F229" s="15" t="s">
        <v>506</v>
      </c>
      <c r="G229" s="18"/>
      <c r="H229" s="18"/>
      <c r="I229" s="18"/>
      <c r="J229" s="12"/>
      <c r="K229" s="12"/>
      <c r="L229" s="12" t="b">
        <f>IF(COUNTIFS(Table83[[#This Row],[Base Table]:[Energy Table]],"y")&gt;0,"y")</f>
        <v>0</v>
      </c>
      <c r="M229" s="16" t="s">
        <v>80</v>
      </c>
      <c r="N229" s="17" t="s">
        <v>24</v>
      </c>
      <c r="O229" s="17" t="s">
        <v>32</v>
      </c>
      <c r="P229" s="4"/>
    </row>
    <row r="230" spans="1:16">
      <c r="A230" s="12" t="s">
        <v>507</v>
      </c>
      <c r="B230" s="13">
        <v>1</v>
      </c>
      <c r="C230" s="13">
        <v>1</v>
      </c>
      <c r="D230" s="14">
        <v>2283292</v>
      </c>
      <c r="E230" s="14">
        <v>1744350</v>
      </c>
      <c r="F230" s="15" t="s">
        <v>508</v>
      </c>
      <c r="G230" s="18"/>
      <c r="H230" s="18" t="s">
        <v>17</v>
      </c>
      <c r="I230" s="18"/>
      <c r="J230" s="12"/>
      <c r="K230" s="12"/>
      <c r="L230" s="12" t="str">
        <f>IF(COUNTIFS(Table83[[#This Row],[Base Table]:[Energy Table]],"y")&gt;0,"y")</f>
        <v>y</v>
      </c>
      <c r="M230" s="16" t="s">
        <v>35</v>
      </c>
      <c r="N230" s="17" t="s">
        <v>19</v>
      </c>
      <c r="O230" s="17" t="s">
        <v>32</v>
      </c>
      <c r="P230" s="4"/>
    </row>
    <row r="231" spans="1:16" ht="26.1">
      <c r="A231" s="12" t="s">
        <v>509</v>
      </c>
      <c r="B231" s="13">
        <v>1</v>
      </c>
      <c r="C231" s="13">
        <v>1</v>
      </c>
      <c r="D231" s="14">
        <v>2283292</v>
      </c>
      <c r="E231" s="14">
        <v>1744350</v>
      </c>
      <c r="F231" s="15" t="s">
        <v>510</v>
      </c>
      <c r="G231" s="18"/>
      <c r="H231" s="18"/>
      <c r="I231" s="18"/>
      <c r="J231" s="12"/>
      <c r="K231" s="12"/>
      <c r="L231" s="12" t="b">
        <f>IF(COUNTIFS(Table83[[#This Row],[Base Table]:[Energy Table]],"y")&gt;0,"y")</f>
        <v>0</v>
      </c>
      <c r="M231" s="16" t="s">
        <v>35</v>
      </c>
      <c r="N231" s="17" t="s">
        <v>19</v>
      </c>
      <c r="O231" s="17" t="s">
        <v>32</v>
      </c>
      <c r="P231" s="4"/>
    </row>
    <row r="232" spans="1:16">
      <c r="A232" s="12" t="s">
        <v>511</v>
      </c>
      <c r="B232" s="13">
        <v>0.378</v>
      </c>
      <c r="C232" s="13">
        <v>0.35</v>
      </c>
      <c r="D232" s="14">
        <v>862367</v>
      </c>
      <c r="E232" s="14">
        <v>610011</v>
      </c>
      <c r="F232" s="15" t="s">
        <v>512</v>
      </c>
      <c r="G232" s="18"/>
      <c r="H232" s="18" t="s">
        <v>17</v>
      </c>
      <c r="I232" s="18"/>
      <c r="J232" s="12"/>
      <c r="K232" s="12"/>
      <c r="L232" s="12" t="str">
        <f>IF(COUNTIFS(Table83[[#This Row],[Base Table]:[Energy Table]],"y")&gt;0,"y")</f>
        <v>y</v>
      </c>
      <c r="M232" s="16" t="s">
        <v>56</v>
      </c>
      <c r="N232" s="17" t="s">
        <v>53</v>
      </c>
      <c r="O232" s="17" t="s">
        <v>32</v>
      </c>
      <c r="P232" s="4"/>
    </row>
    <row r="233" spans="1:16">
      <c r="A233" s="12" t="s">
        <v>513</v>
      </c>
      <c r="B233" s="13">
        <v>0.378</v>
      </c>
      <c r="C233" s="13">
        <v>0.35</v>
      </c>
      <c r="D233" s="14">
        <v>862367</v>
      </c>
      <c r="E233" s="14">
        <v>610011</v>
      </c>
      <c r="F233" s="15" t="s">
        <v>514</v>
      </c>
      <c r="G233" s="18"/>
      <c r="H233" s="18"/>
      <c r="I233" s="18"/>
      <c r="J233" s="12"/>
      <c r="K233" s="12"/>
      <c r="L233" s="12" t="b">
        <f>IF(COUNTIFS(Table83[[#This Row],[Base Table]:[Energy Table]],"y")&gt;0,"y")</f>
        <v>0</v>
      </c>
      <c r="M233" s="16" t="s">
        <v>56</v>
      </c>
      <c r="N233" s="17" t="s">
        <v>53</v>
      </c>
      <c r="O233" s="17" t="s">
        <v>20</v>
      </c>
      <c r="P233" s="4"/>
    </row>
    <row r="234" spans="1:16">
      <c r="A234" s="12" t="s">
        <v>515</v>
      </c>
      <c r="B234" s="13">
        <v>0.378</v>
      </c>
      <c r="C234" s="13">
        <v>0.35</v>
      </c>
      <c r="D234" s="14">
        <v>862367</v>
      </c>
      <c r="E234" s="14">
        <v>610011</v>
      </c>
      <c r="F234" s="15" t="s">
        <v>516</v>
      </c>
      <c r="G234" s="18"/>
      <c r="H234" s="18"/>
      <c r="I234" s="18"/>
      <c r="J234" s="12"/>
      <c r="K234" s="12"/>
      <c r="L234" s="12" t="b">
        <f>IF(COUNTIFS(Table83[[#This Row],[Base Table]:[Energy Table]],"y")&gt;0,"y")</f>
        <v>0</v>
      </c>
      <c r="M234" s="16" t="s">
        <v>56</v>
      </c>
      <c r="N234" s="17" t="s">
        <v>53</v>
      </c>
      <c r="O234" s="17" t="s">
        <v>32</v>
      </c>
      <c r="P234" s="4"/>
    </row>
    <row r="235" spans="1:16">
      <c r="A235" s="12" t="s">
        <v>517</v>
      </c>
      <c r="B235" s="13">
        <v>1</v>
      </c>
      <c r="C235" s="13">
        <v>1</v>
      </c>
      <c r="D235" s="14">
        <v>2283292</v>
      </c>
      <c r="E235" s="14">
        <v>1744350</v>
      </c>
      <c r="F235" s="15" t="s">
        <v>518</v>
      </c>
      <c r="G235" s="18"/>
      <c r="H235" s="18"/>
      <c r="I235" s="18" t="s">
        <v>17</v>
      </c>
      <c r="J235" s="12"/>
      <c r="K235" s="12"/>
      <c r="L235" s="12" t="str">
        <f>IF(COUNTIFS(Table83[[#This Row],[Base Table]:[Energy Table]],"y")&gt;0,"y")</f>
        <v>y</v>
      </c>
      <c r="M235" s="16" t="s">
        <v>35</v>
      </c>
      <c r="N235" s="17" t="s">
        <v>19</v>
      </c>
      <c r="O235" s="17" t="s">
        <v>32</v>
      </c>
      <c r="P235" s="4"/>
    </row>
    <row r="236" spans="1:16" ht="26.1">
      <c r="A236" s="12" t="s">
        <v>519</v>
      </c>
      <c r="B236" s="13">
        <v>0.55800000000000005</v>
      </c>
      <c r="C236" s="13">
        <v>0.54</v>
      </c>
      <c r="D236" s="14">
        <v>1274939</v>
      </c>
      <c r="E236" s="14">
        <v>941992</v>
      </c>
      <c r="F236" s="15" t="s">
        <v>520</v>
      </c>
      <c r="G236" s="18"/>
      <c r="H236" s="18"/>
      <c r="I236" s="18"/>
      <c r="J236" s="12"/>
      <c r="K236" s="12"/>
      <c r="L236" s="12" t="b">
        <f>IF(COUNTIFS(Table83[[#This Row],[Base Table]:[Energy Table]],"y")&gt;0,"y")</f>
        <v>0</v>
      </c>
      <c r="M236" s="16" t="s">
        <v>35</v>
      </c>
      <c r="N236" s="17" t="s">
        <v>49</v>
      </c>
      <c r="O236" s="17" t="s">
        <v>32</v>
      </c>
      <c r="P236" s="4"/>
    </row>
    <row r="237" spans="1:16">
      <c r="A237" s="12" t="s">
        <v>521</v>
      </c>
      <c r="B237" s="13">
        <v>0.48199999999999998</v>
      </c>
      <c r="C237" s="13">
        <v>0.45600000000000002</v>
      </c>
      <c r="D237" s="14">
        <v>1101118</v>
      </c>
      <c r="E237" s="14">
        <v>794812</v>
      </c>
      <c r="F237" s="15" t="s">
        <v>522</v>
      </c>
      <c r="G237" s="18"/>
      <c r="H237" s="18"/>
      <c r="I237" s="18"/>
      <c r="J237" s="12"/>
      <c r="K237" s="12"/>
      <c r="L237" s="12" t="b">
        <f>IF(COUNTIFS(Table83[[#This Row],[Base Table]:[Energy Table]],"y")&gt;0,"y")</f>
        <v>0</v>
      </c>
      <c r="M237" s="16" t="s">
        <v>48</v>
      </c>
      <c r="N237" s="17" t="s">
        <v>49</v>
      </c>
      <c r="O237" s="17" t="s">
        <v>32</v>
      </c>
      <c r="P237" s="4"/>
    </row>
    <row r="238" spans="1:16">
      <c r="A238" s="12" t="s">
        <v>523</v>
      </c>
      <c r="B238" s="13">
        <v>0.374</v>
      </c>
      <c r="C238" s="13">
        <v>0.24399999999999999</v>
      </c>
      <c r="D238" s="14">
        <v>854191</v>
      </c>
      <c r="E238" s="14">
        <v>426181</v>
      </c>
      <c r="F238" s="15" t="s">
        <v>524</v>
      </c>
      <c r="G238" s="18"/>
      <c r="H238" s="18"/>
      <c r="I238" s="18"/>
      <c r="J238" s="12"/>
      <c r="K238" s="12"/>
      <c r="L238" s="12" t="b">
        <f>IF(COUNTIFS(Table83[[#This Row],[Base Table]:[Energy Table]],"y")&gt;0,"y")</f>
        <v>0</v>
      </c>
      <c r="M238" s="16" t="s">
        <v>23</v>
      </c>
      <c r="N238" s="17" t="s">
        <v>24</v>
      </c>
      <c r="O238" s="17" t="s">
        <v>32</v>
      </c>
      <c r="P238" s="4"/>
    </row>
    <row r="239" spans="1:16">
      <c r="A239" s="12" t="s">
        <v>525</v>
      </c>
      <c r="B239" s="13">
        <v>1</v>
      </c>
      <c r="C239" s="13">
        <v>1</v>
      </c>
      <c r="D239" s="14">
        <v>2283292</v>
      </c>
      <c r="E239" s="14">
        <v>1744350</v>
      </c>
      <c r="F239" s="15" t="s">
        <v>526</v>
      </c>
      <c r="G239" s="18"/>
      <c r="H239" s="18" t="s">
        <v>17</v>
      </c>
      <c r="I239" s="18"/>
      <c r="J239" s="12"/>
      <c r="K239" s="12"/>
      <c r="L239" s="12" t="str">
        <f>IF(COUNTIFS(Table83[[#This Row],[Base Table]:[Energy Table]],"y")&gt;0,"y")</f>
        <v>y</v>
      </c>
      <c r="M239" s="16" t="s">
        <v>35</v>
      </c>
      <c r="N239" s="17" t="s">
        <v>19</v>
      </c>
      <c r="O239" s="17" t="s">
        <v>32</v>
      </c>
      <c r="P239" s="4"/>
    </row>
    <row r="240" spans="1:16">
      <c r="A240" s="12" t="s">
        <v>527</v>
      </c>
      <c r="B240" s="13">
        <v>0.378</v>
      </c>
      <c r="C240" s="13">
        <v>0.35</v>
      </c>
      <c r="D240" s="14">
        <v>862367</v>
      </c>
      <c r="E240" s="14">
        <v>610011</v>
      </c>
      <c r="F240" s="15" t="s">
        <v>528</v>
      </c>
      <c r="G240" s="18"/>
      <c r="H240" s="18"/>
      <c r="I240" s="18"/>
      <c r="J240" s="12"/>
      <c r="K240" s="12"/>
      <c r="L240" s="12" t="b">
        <f>IF(COUNTIFS(Table83[[#This Row],[Base Table]:[Energy Table]],"y")&gt;0,"y")</f>
        <v>0</v>
      </c>
      <c r="M240" s="16" t="s">
        <v>56</v>
      </c>
      <c r="N240" s="17" t="s">
        <v>53</v>
      </c>
      <c r="O240" s="17" t="s">
        <v>32</v>
      </c>
      <c r="P240" s="4"/>
    </row>
    <row r="241" spans="1:16">
      <c r="A241" s="12" t="s">
        <v>529</v>
      </c>
      <c r="B241" s="13">
        <v>1</v>
      </c>
      <c r="C241" s="13">
        <v>1</v>
      </c>
      <c r="D241" s="14">
        <v>2283291</v>
      </c>
      <c r="E241" s="14">
        <v>1744350</v>
      </c>
      <c r="F241" s="15" t="s">
        <v>530</v>
      </c>
      <c r="G241" s="18" t="s">
        <v>17</v>
      </c>
      <c r="H241" s="18" t="s">
        <v>17</v>
      </c>
      <c r="I241" s="18"/>
      <c r="J241" s="12"/>
      <c r="K241" s="12"/>
      <c r="L241" s="12" t="str">
        <f>IF(COUNTIFS(Table83[[#This Row],[Base Table]:[Energy Table]],"y")&gt;0,"y")</f>
        <v>y</v>
      </c>
      <c r="M241" s="16" t="s">
        <v>40</v>
      </c>
      <c r="N241" s="17" t="s">
        <v>19</v>
      </c>
      <c r="O241" s="17" t="s">
        <v>20</v>
      </c>
      <c r="P241" s="4"/>
    </row>
    <row r="242" spans="1:16">
      <c r="A242" s="12" t="s">
        <v>531</v>
      </c>
      <c r="B242" s="13">
        <v>1</v>
      </c>
      <c r="C242" s="13">
        <v>1</v>
      </c>
      <c r="D242" s="14">
        <v>2283292</v>
      </c>
      <c r="E242" s="14">
        <v>1744350</v>
      </c>
      <c r="F242" s="15" t="s">
        <v>532</v>
      </c>
      <c r="G242" s="18" t="s">
        <v>17</v>
      </c>
      <c r="H242" s="18" t="s">
        <v>17</v>
      </c>
      <c r="I242" s="18"/>
      <c r="J242" s="12"/>
      <c r="K242" s="12"/>
      <c r="L242" s="12" t="str">
        <f>IF(COUNTIFS(Table83[[#This Row],[Base Table]:[Energy Table]],"y")&gt;0,"y")</f>
        <v>y</v>
      </c>
      <c r="M242" s="16" t="s">
        <v>40</v>
      </c>
      <c r="N242" s="17" t="s">
        <v>19</v>
      </c>
      <c r="O242" s="17" t="s">
        <v>20</v>
      </c>
      <c r="P242" s="4"/>
    </row>
    <row r="243" spans="1:16">
      <c r="A243" s="12" t="s">
        <v>533</v>
      </c>
      <c r="B243" s="13">
        <v>1</v>
      </c>
      <c r="C243" s="13">
        <v>1</v>
      </c>
      <c r="D243" s="14">
        <v>2283292</v>
      </c>
      <c r="E243" s="14">
        <v>1744350</v>
      </c>
      <c r="F243" s="15" t="s">
        <v>534</v>
      </c>
      <c r="G243" s="18"/>
      <c r="H243" s="18"/>
      <c r="I243" s="18"/>
      <c r="J243" s="12"/>
      <c r="K243" s="12"/>
      <c r="L243" s="12" t="b">
        <f>IF(COUNTIFS(Table83[[#This Row],[Base Table]:[Energy Table]],"y")&gt;0,"y")</f>
        <v>0</v>
      </c>
      <c r="M243" s="16" t="s">
        <v>199</v>
      </c>
      <c r="N243" s="17" t="s">
        <v>19</v>
      </c>
      <c r="O243" s="17" t="s">
        <v>20</v>
      </c>
      <c r="P243" s="4"/>
    </row>
    <row r="244" spans="1:16">
      <c r="A244" s="12" t="s">
        <v>535</v>
      </c>
      <c r="B244" s="13">
        <v>1</v>
      </c>
      <c r="C244" s="13">
        <v>1</v>
      </c>
      <c r="D244" s="14">
        <v>2283292</v>
      </c>
      <c r="E244" s="14">
        <v>1744350</v>
      </c>
      <c r="F244" s="15" t="s">
        <v>536</v>
      </c>
      <c r="G244" s="18" t="s">
        <v>17</v>
      </c>
      <c r="H244" s="18" t="s">
        <v>17</v>
      </c>
      <c r="I244" s="18"/>
      <c r="J244" s="12"/>
      <c r="K244" s="12"/>
      <c r="L244" s="12" t="str">
        <f>IF(COUNTIFS(Table83[[#This Row],[Base Table]:[Energy Table]],"y")&gt;0,"y")</f>
        <v>y</v>
      </c>
      <c r="M244" s="16" t="s">
        <v>35</v>
      </c>
      <c r="N244" s="17" t="s">
        <v>24</v>
      </c>
      <c r="O244" s="17" t="s">
        <v>20</v>
      </c>
      <c r="P244" s="4"/>
    </row>
    <row r="245" spans="1:16">
      <c r="A245" s="12" t="s">
        <v>537</v>
      </c>
      <c r="B245" s="13">
        <v>1</v>
      </c>
      <c r="C245" s="13">
        <v>1</v>
      </c>
      <c r="D245" s="14">
        <v>2283292</v>
      </c>
      <c r="E245" s="14">
        <v>1744350</v>
      </c>
      <c r="F245" s="15" t="s">
        <v>538</v>
      </c>
      <c r="G245" s="18" t="s">
        <v>17</v>
      </c>
      <c r="H245" s="18" t="s">
        <v>17</v>
      </c>
      <c r="I245" s="18"/>
      <c r="J245" s="12"/>
      <c r="K245" s="12"/>
      <c r="L245" s="12" t="str">
        <f>IF(COUNTIFS(Table83[[#This Row],[Base Table]:[Energy Table]],"y")&gt;0,"y")</f>
        <v>y</v>
      </c>
      <c r="M245" s="16" t="s">
        <v>35</v>
      </c>
      <c r="N245" s="17" t="s">
        <v>212</v>
      </c>
      <c r="O245" s="17" t="s">
        <v>20</v>
      </c>
      <c r="P245" s="4"/>
    </row>
    <row r="246" spans="1:16" ht="26.1">
      <c r="A246" s="12" t="s">
        <v>539</v>
      </c>
      <c r="B246" s="13">
        <v>3.3000000000000002E-2</v>
      </c>
      <c r="C246" s="13">
        <v>8.5000000000000006E-2</v>
      </c>
      <c r="D246" s="14">
        <v>76189</v>
      </c>
      <c r="E246" s="14">
        <v>148534</v>
      </c>
      <c r="F246" s="15" t="s">
        <v>540</v>
      </c>
      <c r="G246" s="18"/>
      <c r="H246" s="18"/>
      <c r="I246" s="18"/>
      <c r="J246" s="12"/>
      <c r="K246" s="12"/>
      <c r="L246" s="12" t="b">
        <f>IF(COUNTIFS(Table83[[#This Row],[Base Table]:[Energy Table]],"y")&gt;0,"y")</f>
        <v>0</v>
      </c>
      <c r="M246" s="16" t="s">
        <v>346</v>
      </c>
      <c r="N246" s="17" t="s">
        <v>347</v>
      </c>
      <c r="O246" s="17" t="s">
        <v>20</v>
      </c>
      <c r="P246" s="4"/>
    </row>
    <row r="247" spans="1:16">
      <c r="A247" s="12" t="s">
        <v>541</v>
      </c>
      <c r="B247" s="13">
        <v>1</v>
      </c>
      <c r="C247" s="13">
        <v>1</v>
      </c>
      <c r="D247" s="14">
        <v>2283290</v>
      </c>
      <c r="E247" s="14">
        <v>1744350</v>
      </c>
      <c r="F247" s="15" t="s">
        <v>542</v>
      </c>
      <c r="G247" s="18" t="s">
        <v>17</v>
      </c>
      <c r="H247" s="18" t="s">
        <v>17</v>
      </c>
      <c r="I247" s="18"/>
      <c r="J247" s="12"/>
      <c r="K247" s="12"/>
      <c r="L247" s="12" t="str">
        <f>IF(COUNTIFS(Table83[[#This Row],[Base Table]:[Energy Table]],"y")&gt;0,"y")</f>
        <v>y</v>
      </c>
      <c r="M247" s="16" t="s">
        <v>40</v>
      </c>
      <c r="N247" s="17" t="s">
        <v>19</v>
      </c>
      <c r="O247" s="17" t="s">
        <v>20</v>
      </c>
      <c r="P247" s="4"/>
    </row>
    <row r="248" spans="1:16">
      <c r="A248" s="12" t="s">
        <v>543</v>
      </c>
      <c r="B248" s="13">
        <v>0.36899999999999999</v>
      </c>
      <c r="C248" s="13">
        <v>0.34899999999999998</v>
      </c>
      <c r="D248" s="14">
        <v>841742</v>
      </c>
      <c r="E248" s="14">
        <v>608533</v>
      </c>
      <c r="F248" s="15" t="s">
        <v>544</v>
      </c>
      <c r="G248" s="18"/>
      <c r="H248" s="18"/>
      <c r="I248" s="18"/>
      <c r="J248" s="12"/>
      <c r="K248" s="12"/>
      <c r="L248" s="12" t="b">
        <f>IF(COUNTIFS(Table83[[#This Row],[Base Table]:[Energy Table]],"y")&gt;0,"y")</f>
        <v>0</v>
      </c>
      <c r="M248" s="16" t="s">
        <v>40</v>
      </c>
      <c r="N248" s="17" t="s">
        <v>27</v>
      </c>
      <c r="O248" s="17" t="s">
        <v>20</v>
      </c>
      <c r="P248" s="4"/>
    </row>
    <row r="249" spans="1:16">
      <c r="A249" s="12" t="s">
        <v>545</v>
      </c>
      <c r="B249" s="13">
        <v>1</v>
      </c>
      <c r="C249" s="13">
        <v>1</v>
      </c>
      <c r="D249" s="14">
        <v>2283290</v>
      </c>
      <c r="E249" s="14">
        <v>1744350</v>
      </c>
      <c r="F249" s="15" t="s">
        <v>546</v>
      </c>
      <c r="G249" s="18" t="s">
        <v>17</v>
      </c>
      <c r="H249" s="18" t="s">
        <v>17</v>
      </c>
      <c r="I249" s="18"/>
      <c r="J249" s="12"/>
      <c r="K249" s="12"/>
      <c r="L249" s="12" t="str">
        <f>IF(COUNTIFS(Table83[[#This Row],[Base Table]:[Energy Table]],"y")&gt;0,"y")</f>
        <v>y</v>
      </c>
      <c r="M249" s="16" t="s">
        <v>40</v>
      </c>
      <c r="N249" s="17" t="s">
        <v>19</v>
      </c>
      <c r="O249" s="17" t="s">
        <v>20</v>
      </c>
      <c r="P249" s="4"/>
    </row>
    <row r="250" spans="1:16">
      <c r="A250" s="12" t="s">
        <v>547</v>
      </c>
      <c r="B250" s="13">
        <v>1</v>
      </c>
      <c r="C250" s="13">
        <v>1</v>
      </c>
      <c r="D250" s="14">
        <v>2283292</v>
      </c>
      <c r="E250" s="14">
        <v>1744350</v>
      </c>
      <c r="F250" s="15" t="s">
        <v>548</v>
      </c>
      <c r="G250" s="18" t="s">
        <v>17</v>
      </c>
      <c r="H250" s="18" t="s">
        <v>17</v>
      </c>
      <c r="I250" s="18"/>
      <c r="J250" s="12"/>
      <c r="K250" s="12"/>
      <c r="L250" s="12" t="str">
        <f>IF(COUNTIFS(Table83[[#This Row],[Base Table]:[Energy Table]],"y")&gt;0,"y")</f>
        <v>y</v>
      </c>
      <c r="M250" s="16" t="s">
        <v>35</v>
      </c>
      <c r="N250" s="17" t="s">
        <v>19</v>
      </c>
      <c r="O250" s="17" t="s">
        <v>20</v>
      </c>
      <c r="P250" s="4"/>
    </row>
    <row r="251" spans="1:16">
      <c r="A251" s="12" t="s">
        <v>549</v>
      </c>
      <c r="B251" s="13">
        <v>1</v>
      </c>
      <c r="C251" s="13">
        <v>1</v>
      </c>
      <c r="D251" s="14">
        <v>2283292</v>
      </c>
      <c r="E251" s="14">
        <v>1744350</v>
      </c>
      <c r="F251" s="15" t="s">
        <v>550</v>
      </c>
      <c r="G251" s="18" t="s">
        <v>17</v>
      </c>
      <c r="H251" s="18"/>
      <c r="I251" s="18"/>
      <c r="J251" s="12"/>
      <c r="K251" s="12"/>
      <c r="L251" s="12" t="str">
        <f>IF(COUNTIFS(Table83[[#This Row],[Base Table]:[Energy Table]],"y")&gt;0,"y")</f>
        <v>y</v>
      </c>
      <c r="M251" s="16" t="s">
        <v>18</v>
      </c>
      <c r="N251" s="17" t="s">
        <v>19</v>
      </c>
      <c r="O251" s="17" t="s">
        <v>20</v>
      </c>
      <c r="P251" s="4"/>
    </row>
    <row r="252" spans="1:16">
      <c r="A252" s="12" t="s">
        <v>551</v>
      </c>
      <c r="B252" s="13">
        <v>1</v>
      </c>
      <c r="C252" s="13">
        <v>1</v>
      </c>
      <c r="D252" s="14">
        <v>2283292</v>
      </c>
      <c r="E252" s="14">
        <v>1744350</v>
      </c>
      <c r="F252" s="15" t="s">
        <v>552</v>
      </c>
      <c r="G252" s="18"/>
      <c r="H252" s="18"/>
      <c r="I252" s="18"/>
      <c r="J252" s="12"/>
      <c r="K252" s="12"/>
      <c r="L252" s="12" t="b">
        <f>IF(COUNTIFS(Table83[[#This Row],[Base Table]:[Energy Table]],"y")&gt;0,"y")</f>
        <v>0</v>
      </c>
      <c r="M252" s="16" t="s">
        <v>35</v>
      </c>
      <c r="N252" s="17" t="s">
        <v>19</v>
      </c>
      <c r="O252" s="17" t="s">
        <v>20</v>
      </c>
      <c r="P252" s="4"/>
    </row>
    <row r="253" spans="1:16">
      <c r="A253" s="12" t="s">
        <v>553</v>
      </c>
      <c r="B253" s="13">
        <v>1</v>
      </c>
      <c r="C253" s="13">
        <v>1</v>
      </c>
      <c r="D253" s="14">
        <v>2283292</v>
      </c>
      <c r="E253" s="14">
        <v>1744350</v>
      </c>
      <c r="F253" s="15" t="s">
        <v>554</v>
      </c>
      <c r="G253" s="18"/>
      <c r="H253" s="18"/>
      <c r="I253" s="18"/>
      <c r="J253" s="12"/>
      <c r="K253" s="12"/>
      <c r="L253" s="12" t="b">
        <f>IF(COUNTIFS(Table83[[#This Row],[Base Table]:[Energy Table]],"y")&gt;0,"y")</f>
        <v>0</v>
      </c>
      <c r="M253" s="16" t="s">
        <v>35</v>
      </c>
      <c r="N253" s="17" t="s">
        <v>19</v>
      </c>
      <c r="O253" s="17" t="s">
        <v>20</v>
      </c>
      <c r="P253" s="4"/>
    </row>
    <row r="254" spans="1:16">
      <c r="A254" s="12" t="s">
        <v>555</v>
      </c>
      <c r="B254" s="13">
        <v>0.97199999999999998</v>
      </c>
      <c r="C254" s="13">
        <v>0.98699999999999999</v>
      </c>
      <c r="D254" s="14">
        <v>2218233</v>
      </c>
      <c r="E254" s="14">
        <v>1721681</v>
      </c>
      <c r="F254" s="15" t="s">
        <v>556</v>
      </c>
      <c r="G254" s="18"/>
      <c r="H254" s="18"/>
      <c r="I254" s="18"/>
      <c r="J254" s="12"/>
      <c r="K254" s="12"/>
      <c r="L254" s="12" t="b">
        <f>IF(COUNTIFS(Table83[[#This Row],[Base Table]:[Energy Table]],"y")&gt;0,"y")</f>
        <v>0</v>
      </c>
      <c r="M254" s="16" t="s">
        <v>18</v>
      </c>
      <c r="N254" s="17" t="s">
        <v>81</v>
      </c>
      <c r="O254" s="17" t="s">
        <v>20</v>
      </c>
      <c r="P254" s="4"/>
    </row>
    <row r="255" spans="1:16">
      <c r="A255" s="12" t="s">
        <v>557</v>
      </c>
      <c r="B255" s="13">
        <v>1</v>
      </c>
      <c r="C255" s="13">
        <v>1</v>
      </c>
      <c r="D255" s="14">
        <v>2283292</v>
      </c>
      <c r="E255" s="14">
        <v>1744350</v>
      </c>
      <c r="F255" s="15" t="s">
        <v>558</v>
      </c>
      <c r="G255" s="18" t="s">
        <v>17</v>
      </c>
      <c r="H255" s="18" t="s">
        <v>17</v>
      </c>
      <c r="I255" s="18"/>
      <c r="J255" s="12"/>
      <c r="K255" s="12"/>
      <c r="L255" s="12" t="str">
        <f>IF(COUNTIFS(Table83[[#This Row],[Base Table]:[Energy Table]],"y")&gt;0,"y")</f>
        <v>y</v>
      </c>
      <c r="M255" s="16" t="s">
        <v>18</v>
      </c>
      <c r="N255" s="17" t="s">
        <v>24</v>
      </c>
      <c r="O255" s="17" t="s">
        <v>20</v>
      </c>
      <c r="P255" s="4"/>
    </row>
    <row r="256" spans="1:16">
      <c r="A256" s="12" t="s">
        <v>559</v>
      </c>
      <c r="B256" s="13">
        <v>1</v>
      </c>
      <c r="C256" s="13">
        <v>1</v>
      </c>
      <c r="D256" s="14">
        <v>2283292</v>
      </c>
      <c r="E256" s="14">
        <v>1744350</v>
      </c>
      <c r="F256" s="15" t="s">
        <v>560</v>
      </c>
      <c r="G256" s="18" t="s">
        <v>17</v>
      </c>
      <c r="H256" s="18" t="s">
        <v>17</v>
      </c>
      <c r="I256" s="18"/>
      <c r="J256" s="12"/>
      <c r="K256" s="12"/>
      <c r="L256" s="12" t="str">
        <f>IF(COUNTIFS(Table83[[#This Row],[Base Table]:[Energy Table]],"y")&gt;0,"y")</f>
        <v>y</v>
      </c>
      <c r="M256" s="16" t="s">
        <v>18</v>
      </c>
      <c r="N256" s="17" t="s">
        <v>24</v>
      </c>
      <c r="O256" s="17" t="s">
        <v>20</v>
      </c>
      <c r="P256" s="4"/>
    </row>
    <row r="257" spans="1:16">
      <c r="A257" s="12" t="s">
        <v>561</v>
      </c>
      <c r="B257" s="13">
        <v>1</v>
      </c>
      <c r="C257" s="13">
        <v>1</v>
      </c>
      <c r="D257" s="14">
        <v>2283292</v>
      </c>
      <c r="E257" s="14">
        <v>1744350</v>
      </c>
      <c r="F257" s="15" t="s">
        <v>562</v>
      </c>
      <c r="G257" s="18"/>
      <c r="H257" s="18"/>
      <c r="I257" s="18"/>
      <c r="J257" s="12"/>
      <c r="K257" s="12"/>
      <c r="L257" s="12" t="b">
        <f>IF(COUNTIFS(Table83[[#This Row],[Base Table]:[Energy Table]],"y")&gt;0,"y")</f>
        <v>0</v>
      </c>
      <c r="M257" s="16" t="s">
        <v>18</v>
      </c>
      <c r="N257" s="17" t="s">
        <v>19</v>
      </c>
      <c r="O257" s="17" t="s">
        <v>20</v>
      </c>
      <c r="P257" s="4"/>
    </row>
    <row r="258" spans="1:16" ht="26.1">
      <c r="A258" s="12" t="s">
        <v>563</v>
      </c>
      <c r="B258" s="13">
        <v>1</v>
      </c>
      <c r="C258" s="13">
        <v>1</v>
      </c>
      <c r="D258" s="14">
        <v>2283292</v>
      </c>
      <c r="E258" s="14">
        <v>1744350</v>
      </c>
      <c r="F258" s="15" t="s">
        <v>564</v>
      </c>
      <c r="G258" s="18"/>
      <c r="H258" s="18"/>
      <c r="I258" s="18"/>
      <c r="J258" s="12"/>
      <c r="K258" s="12"/>
      <c r="L258" s="12" t="b">
        <f>IF(COUNTIFS(Table83[[#This Row],[Base Table]:[Energy Table]],"y")&gt;0,"y")</f>
        <v>0</v>
      </c>
      <c r="M258" s="16" t="s">
        <v>18</v>
      </c>
      <c r="N258" s="17" t="s">
        <v>92</v>
      </c>
      <c r="O258" s="17" t="s">
        <v>20</v>
      </c>
      <c r="P258" s="4"/>
    </row>
    <row r="259" spans="1:16">
      <c r="A259" s="12" t="s">
        <v>565</v>
      </c>
      <c r="B259" s="13">
        <v>1</v>
      </c>
      <c r="C259" s="13">
        <v>1</v>
      </c>
      <c r="D259" s="14">
        <v>2283292</v>
      </c>
      <c r="E259" s="14">
        <v>1744350</v>
      </c>
      <c r="F259" s="15" t="s">
        <v>566</v>
      </c>
      <c r="G259" s="18"/>
      <c r="H259" s="18"/>
      <c r="I259" s="18"/>
      <c r="J259" s="12"/>
      <c r="K259" s="12"/>
      <c r="L259" s="12" t="b">
        <f>IF(COUNTIFS(Table83[[#This Row],[Base Table]:[Energy Table]],"y")&gt;0,"y")</f>
        <v>0</v>
      </c>
      <c r="M259" s="16" t="s">
        <v>18</v>
      </c>
      <c r="N259" s="17" t="s">
        <v>24</v>
      </c>
      <c r="O259" s="17" t="s">
        <v>20</v>
      </c>
      <c r="P259" s="4"/>
    </row>
    <row r="260" spans="1:16" s="8" customFormat="1">
      <c r="A260" s="12" t="s">
        <v>567</v>
      </c>
      <c r="B260" s="13">
        <v>0.97199999999999998</v>
      </c>
      <c r="C260" s="13">
        <v>0.98699999999999999</v>
      </c>
      <c r="D260" s="14">
        <v>2218233</v>
      </c>
      <c r="E260" s="14">
        <v>1721681</v>
      </c>
      <c r="F260" s="15" t="s">
        <v>568</v>
      </c>
      <c r="G260" s="18"/>
      <c r="H260" s="18"/>
      <c r="I260" s="18"/>
      <c r="J260" s="12"/>
      <c r="K260" s="12"/>
      <c r="L260" s="12" t="b">
        <f>IF(COUNTIFS(Table83[[#This Row],[Base Table]:[Energy Table]],"y")&gt;0,"y")</f>
        <v>0</v>
      </c>
      <c r="M260" s="16" t="s">
        <v>18</v>
      </c>
      <c r="N260" s="17" t="s">
        <v>81</v>
      </c>
      <c r="O260" s="17" t="s">
        <v>20</v>
      </c>
    </row>
    <row r="261" spans="1:16">
      <c r="A261" s="12" t="s">
        <v>569</v>
      </c>
      <c r="B261" s="13">
        <v>1</v>
      </c>
      <c r="C261" s="13">
        <v>1</v>
      </c>
      <c r="D261" s="14">
        <v>2283292</v>
      </c>
      <c r="E261" s="14">
        <v>1744350</v>
      </c>
      <c r="F261" s="15" t="s">
        <v>570</v>
      </c>
      <c r="G261" s="18" t="s">
        <v>17</v>
      </c>
      <c r="H261" s="18" t="s">
        <v>17</v>
      </c>
      <c r="I261" s="18"/>
      <c r="J261" s="12"/>
      <c r="K261" s="12"/>
      <c r="L261" s="12" t="str">
        <f>IF(COUNTIFS(Table83[[#This Row],[Base Table]:[Energy Table]],"y")&gt;0,"y")</f>
        <v>y</v>
      </c>
      <c r="M261" s="16" t="s">
        <v>18</v>
      </c>
      <c r="N261" s="17" t="s">
        <v>24</v>
      </c>
      <c r="O261" s="17" t="s">
        <v>20</v>
      </c>
      <c r="P261" s="4"/>
    </row>
    <row r="262" spans="1:16">
      <c r="A262" s="12" t="s">
        <v>571</v>
      </c>
      <c r="B262" s="13">
        <v>1</v>
      </c>
      <c r="C262" s="13">
        <v>1</v>
      </c>
      <c r="D262" s="14">
        <v>2283292</v>
      </c>
      <c r="E262" s="14">
        <v>1744350</v>
      </c>
      <c r="F262" s="15" t="s">
        <v>572</v>
      </c>
      <c r="G262" s="18" t="s">
        <v>17</v>
      </c>
      <c r="H262" s="18" t="s">
        <v>17</v>
      </c>
      <c r="I262" s="18"/>
      <c r="J262" s="12"/>
      <c r="K262" s="12"/>
      <c r="L262" s="12" t="str">
        <f>IF(COUNTIFS(Table83[[#This Row],[Base Table]:[Energy Table]],"y")&gt;0,"y")</f>
        <v>y</v>
      </c>
      <c r="M262" s="16" t="s">
        <v>18</v>
      </c>
      <c r="N262" s="17" t="s">
        <v>24</v>
      </c>
      <c r="O262" s="17" t="s">
        <v>20</v>
      </c>
      <c r="P262" s="4"/>
    </row>
    <row r="263" spans="1:16">
      <c r="A263" s="12" t="s">
        <v>573</v>
      </c>
      <c r="B263" s="13">
        <v>0.97199999999999998</v>
      </c>
      <c r="C263" s="13">
        <v>0.98699999999999999</v>
      </c>
      <c r="D263" s="14">
        <v>2218233</v>
      </c>
      <c r="E263" s="14">
        <v>1721681</v>
      </c>
      <c r="F263" s="15" t="s">
        <v>574</v>
      </c>
      <c r="G263" s="18"/>
      <c r="H263" s="18"/>
      <c r="I263" s="18"/>
      <c r="J263" s="12"/>
      <c r="K263" s="12"/>
      <c r="L263" s="12" t="b">
        <f>IF(COUNTIFS(Table83[[#This Row],[Base Table]:[Energy Table]],"y")&gt;0,"y")</f>
        <v>0</v>
      </c>
      <c r="M263" s="16" t="s">
        <v>18</v>
      </c>
      <c r="N263" s="17" t="s">
        <v>81</v>
      </c>
      <c r="O263" s="17" t="s">
        <v>20</v>
      </c>
      <c r="P263" s="4"/>
    </row>
    <row r="264" spans="1:16" ht="26.1">
      <c r="A264" s="12" t="s">
        <v>575</v>
      </c>
      <c r="B264" s="13">
        <v>1</v>
      </c>
      <c r="C264" s="13">
        <v>1</v>
      </c>
      <c r="D264" s="14">
        <v>2283292</v>
      </c>
      <c r="E264" s="14">
        <v>1744350</v>
      </c>
      <c r="F264" s="15" t="s">
        <v>576</v>
      </c>
      <c r="G264" s="18" t="s">
        <v>17</v>
      </c>
      <c r="H264" s="18"/>
      <c r="I264" s="18"/>
      <c r="J264" s="12"/>
      <c r="K264" s="12"/>
      <c r="L264" s="12" t="str">
        <f>IF(COUNTIFS(Table83[[#This Row],[Base Table]:[Energy Table]],"y")&gt;0,"y")</f>
        <v>y</v>
      </c>
      <c r="M264" s="16" t="s">
        <v>40</v>
      </c>
      <c r="N264" s="17" t="s">
        <v>19</v>
      </c>
      <c r="O264" s="17" t="s">
        <v>20</v>
      </c>
      <c r="P264" s="4"/>
    </row>
    <row r="265" spans="1:16">
      <c r="A265" s="12" t="s">
        <v>577</v>
      </c>
      <c r="B265" s="13">
        <v>0.97199999999999998</v>
      </c>
      <c r="C265" s="13">
        <v>0.98699999999999999</v>
      </c>
      <c r="D265" s="14">
        <v>2218233</v>
      </c>
      <c r="E265" s="14">
        <v>1721681</v>
      </c>
      <c r="F265" s="15" t="s">
        <v>578</v>
      </c>
      <c r="G265" s="18"/>
      <c r="H265" s="18"/>
      <c r="I265" s="18"/>
      <c r="J265" s="12"/>
      <c r="K265" s="12"/>
      <c r="L265" s="12" t="b">
        <f>IF(COUNTIFS(Table83[[#This Row],[Base Table]:[Energy Table]],"y")&gt;0,"y")</f>
        <v>0</v>
      </c>
      <c r="M265" s="16" t="s">
        <v>18</v>
      </c>
      <c r="N265" s="17" t="s">
        <v>81</v>
      </c>
      <c r="O265" s="17" t="s">
        <v>20</v>
      </c>
      <c r="P265" s="4"/>
    </row>
    <row r="266" spans="1:16">
      <c r="A266" s="12" t="s">
        <v>579</v>
      </c>
      <c r="B266" s="13">
        <v>0.97199999999999998</v>
      </c>
      <c r="C266" s="13">
        <v>0.98699999999999999</v>
      </c>
      <c r="D266" s="14">
        <v>2218233</v>
      </c>
      <c r="E266" s="14">
        <v>1721681</v>
      </c>
      <c r="F266" s="15" t="s">
        <v>580</v>
      </c>
      <c r="G266" s="18"/>
      <c r="H266" s="18"/>
      <c r="I266" s="18"/>
      <c r="J266" s="12"/>
      <c r="K266" s="12"/>
      <c r="L266" s="12" t="b">
        <f>IF(COUNTIFS(Table83[[#This Row],[Base Table]:[Energy Table]],"y")&gt;0,"y")</f>
        <v>0</v>
      </c>
      <c r="M266" s="16" t="s">
        <v>18</v>
      </c>
      <c r="N266" s="17" t="s">
        <v>81</v>
      </c>
      <c r="O266" s="17" t="s">
        <v>20</v>
      </c>
      <c r="P266" s="4"/>
    </row>
    <row r="267" spans="1:16" ht="26.1">
      <c r="A267" s="12" t="s">
        <v>581</v>
      </c>
      <c r="B267" s="13">
        <v>0.90900000000000003</v>
      </c>
      <c r="C267" s="13">
        <v>0.94899999999999995</v>
      </c>
      <c r="D267" s="14">
        <v>2076410</v>
      </c>
      <c r="E267" s="14">
        <v>1654589</v>
      </c>
      <c r="F267" s="15" t="s">
        <v>582</v>
      </c>
      <c r="G267" s="18"/>
      <c r="H267" s="18"/>
      <c r="I267" s="18"/>
      <c r="J267" s="12"/>
      <c r="K267" s="12"/>
      <c r="L267" s="12" t="b">
        <f>IF(COUNTIFS(Table83[[#This Row],[Base Table]:[Energy Table]],"y")&gt;0,"y")</f>
        <v>0</v>
      </c>
      <c r="M267" s="16" t="s">
        <v>18</v>
      </c>
      <c r="N267" s="17" t="s">
        <v>347</v>
      </c>
      <c r="O267" s="17" t="s">
        <v>32</v>
      </c>
      <c r="P267" s="4"/>
    </row>
    <row r="268" spans="1:16">
      <c r="A268" s="12" t="s">
        <v>583</v>
      </c>
      <c r="B268" s="13">
        <v>0.90900000000000003</v>
      </c>
      <c r="C268" s="13">
        <v>0.94899999999999995</v>
      </c>
      <c r="D268" s="14">
        <v>2076410</v>
      </c>
      <c r="E268" s="14">
        <v>1654589</v>
      </c>
      <c r="F268" s="15" t="s">
        <v>584</v>
      </c>
      <c r="G268" s="18"/>
      <c r="H268" s="18"/>
      <c r="I268" s="18"/>
      <c r="J268" s="12"/>
      <c r="K268" s="12"/>
      <c r="L268" s="12" t="b">
        <f>IF(COUNTIFS(Table83[[#This Row],[Base Table]:[Energy Table]],"y")&gt;0,"y")</f>
        <v>0</v>
      </c>
      <c r="M268" s="16" t="s">
        <v>18</v>
      </c>
      <c r="N268" s="17" t="s">
        <v>347</v>
      </c>
      <c r="O268" s="17" t="s">
        <v>20</v>
      </c>
      <c r="P268" s="4"/>
    </row>
    <row r="269" spans="1:16">
      <c r="A269" s="12" t="s">
        <v>585</v>
      </c>
      <c r="B269" s="13">
        <v>0.90900000000000003</v>
      </c>
      <c r="C269" s="13">
        <v>0.94899999999999995</v>
      </c>
      <c r="D269" s="14">
        <v>2076410</v>
      </c>
      <c r="E269" s="14">
        <v>1654589</v>
      </c>
      <c r="F269" s="15" t="s">
        <v>586</v>
      </c>
      <c r="G269" s="18"/>
      <c r="H269" s="18"/>
      <c r="I269" s="18"/>
      <c r="J269" s="12"/>
      <c r="K269" s="12"/>
      <c r="L269" s="12" t="b">
        <f>IF(COUNTIFS(Table83[[#This Row],[Base Table]:[Energy Table]],"y")&gt;0,"y")</f>
        <v>0</v>
      </c>
      <c r="M269" s="16" t="s">
        <v>18</v>
      </c>
      <c r="N269" s="17" t="s">
        <v>347</v>
      </c>
      <c r="O269" s="17" t="s">
        <v>20</v>
      </c>
      <c r="P269" s="4"/>
    </row>
    <row r="270" spans="1:16">
      <c r="A270" s="12" t="s">
        <v>587</v>
      </c>
      <c r="B270" s="13">
        <v>0.97199999999999998</v>
      </c>
      <c r="C270" s="13">
        <v>0.98699999999999999</v>
      </c>
      <c r="D270" s="14">
        <v>2218233</v>
      </c>
      <c r="E270" s="14">
        <v>1721681</v>
      </c>
      <c r="F270" s="15" t="s">
        <v>588</v>
      </c>
      <c r="G270" s="18"/>
      <c r="H270" s="18"/>
      <c r="I270" s="18"/>
      <c r="J270" s="12"/>
      <c r="K270" s="12"/>
      <c r="L270" s="12" t="b">
        <f>IF(COUNTIFS(Table83[[#This Row],[Base Table]:[Energy Table]],"y")&gt;0,"y")</f>
        <v>0</v>
      </c>
      <c r="M270" s="16" t="s">
        <v>18</v>
      </c>
      <c r="N270" s="17" t="s">
        <v>81</v>
      </c>
      <c r="O270" s="17" t="s">
        <v>20</v>
      </c>
      <c r="P270" s="4"/>
    </row>
    <row r="271" spans="1:16" ht="26.1">
      <c r="A271" s="12" t="s">
        <v>589</v>
      </c>
      <c r="B271" s="13">
        <v>0.90900000000000003</v>
      </c>
      <c r="C271" s="13">
        <v>0.94899999999999995</v>
      </c>
      <c r="D271" s="14">
        <v>2076410</v>
      </c>
      <c r="E271" s="14">
        <v>1654589</v>
      </c>
      <c r="F271" s="15" t="s">
        <v>590</v>
      </c>
      <c r="G271" s="18"/>
      <c r="H271" s="18"/>
      <c r="I271" s="18"/>
      <c r="J271" s="12"/>
      <c r="K271" s="12"/>
      <c r="L271" s="12" t="b">
        <f>IF(COUNTIFS(Table83[[#This Row],[Base Table]:[Energy Table]],"y")&gt;0,"y")</f>
        <v>0</v>
      </c>
      <c r="M271" s="16" t="s">
        <v>18</v>
      </c>
      <c r="N271" s="17" t="s">
        <v>347</v>
      </c>
      <c r="O271" s="17" t="s">
        <v>32</v>
      </c>
      <c r="P271" s="4"/>
    </row>
    <row r="272" spans="1:16">
      <c r="A272" s="12" t="s">
        <v>591</v>
      </c>
      <c r="B272" s="13">
        <v>1</v>
      </c>
      <c r="C272" s="13">
        <v>1</v>
      </c>
      <c r="D272" s="14">
        <v>2283292</v>
      </c>
      <c r="E272" s="14">
        <v>1744350</v>
      </c>
      <c r="F272" s="15" t="s">
        <v>592</v>
      </c>
      <c r="G272" s="18" t="s">
        <v>17</v>
      </c>
      <c r="H272" s="18" t="s">
        <v>17</v>
      </c>
      <c r="I272" s="18"/>
      <c r="J272" s="12"/>
      <c r="K272" s="12"/>
      <c r="L272" s="12" t="str">
        <f>IF(COUNTIFS(Table83[[#This Row],[Base Table]:[Energy Table]],"y")&gt;0,"y")</f>
        <v>y</v>
      </c>
      <c r="M272" s="16" t="s">
        <v>18</v>
      </c>
      <c r="N272" s="17" t="s">
        <v>24</v>
      </c>
      <c r="O272" s="17" t="s">
        <v>20</v>
      </c>
      <c r="P272" s="4"/>
    </row>
    <row r="273" spans="1:16">
      <c r="A273" s="12" t="s">
        <v>593</v>
      </c>
      <c r="B273" s="13">
        <v>0.97199999999999998</v>
      </c>
      <c r="C273" s="13">
        <v>0.98699999999999999</v>
      </c>
      <c r="D273" s="14">
        <v>2218233</v>
      </c>
      <c r="E273" s="14">
        <v>1721681</v>
      </c>
      <c r="F273" s="15" t="s">
        <v>594</v>
      </c>
      <c r="G273" s="18"/>
      <c r="H273" s="18"/>
      <c r="I273" s="18"/>
      <c r="J273" s="12"/>
      <c r="K273" s="12"/>
      <c r="L273" s="12" t="b">
        <f>IF(COUNTIFS(Table83[[#This Row],[Base Table]:[Energy Table]],"y")&gt;0,"y")</f>
        <v>0</v>
      </c>
      <c r="M273" s="16" t="s">
        <v>18</v>
      </c>
      <c r="N273" s="17" t="s">
        <v>81</v>
      </c>
      <c r="O273" s="17" t="s">
        <v>20</v>
      </c>
      <c r="P273" s="4"/>
    </row>
    <row r="274" spans="1:16">
      <c r="A274" s="12" t="s">
        <v>595</v>
      </c>
      <c r="B274" s="13">
        <v>0.97199999999999998</v>
      </c>
      <c r="C274" s="13">
        <v>0.98699999999999999</v>
      </c>
      <c r="D274" s="14">
        <v>2218233</v>
      </c>
      <c r="E274" s="14">
        <v>1721681</v>
      </c>
      <c r="F274" s="15" t="s">
        <v>596</v>
      </c>
      <c r="G274" s="18"/>
      <c r="H274" s="18"/>
      <c r="I274" s="18"/>
      <c r="J274" s="12"/>
      <c r="K274" s="12"/>
      <c r="L274" s="12" t="b">
        <f>IF(COUNTIFS(Table83[[#This Row],[Base Table]:[Energy Table]],"y")&gt;0,"y")</f>
        <v>0</v>
      </c>
      <c r="M274" s="16" t="s">
        <v>18</v>
      </c>
      <c r="N274" s="17" t="s">
        <v>81</v>
      </c>
      <c r="O274" s="17" t="s">
        <v>20</v>
      </c>
      <c r="P274" s="4"/>
    </row>
    <row r="275" spans="1:16">
      <c r="A275" s="12" t="s">
        <v>597</v>
      </c>
      <c r="B275" s="13">
        <v>0.48199999999999998</v>
      </c>
      <c r="C275" s="13">
        <v>0.45600000000000002</v>
      </c>
      <c r="D275" s="14">
        <v>1101118</v>
      </c>
      <c r="E275" s="14">
        <v>794812</v>
      </c>
      <c r="F275" s="15" t="s">
        <v>598</v>
      </c>
      <c r="G275" s="18"/>
      <c r="H275" s="18"/>
      <c r="I275" s="18"/>
      <c r="J275" s="12"/>
      <c r="K275" s="12"/>
      <c r="L275" s="12" t="b">
        <f>IF(COUNTIFS(Table83[[#This Row],[Base Table]:[Energy Table]],"y")&gt;0,"y")</f>
        <v>0</v>
      </c>
      <c r="M275" s="16" t="s">
        <v>48</v>
      </c>
      <c r="N275" s="17" t="s">
        <v>49</v>
      </c>
      <c r="O275" s="17" t="s">
        <v>20</v>
      </c>
      <c r="P275" s="4"/>
    </row>
    <row r="276" spans="1:16">
      <c r="A276" s="12" t="s">
        <v>599</v>
      </c>
      <c r="B276" s="13">
        <v>0.97199999999999998</v>
      </c>
      <c r="C276" s="13">
        <v>0.98699999999999999</v>
      </c>
      <c r="D276" s="14">
        <v>2218233</v>
      </c>
      <c r="E276" s="14">
        <v>1721681</v>
      </c>
      <c r="F276" s="15" t="s">
        <v>600</v>
      </c>
      <c r="G276" s="18"/>
      <c r="H276" s="18"/>
      <c r="I276" s="18"/>
      <c r="J276" s="12"/>
      <c r="K276" s="12"/>
      <c r="L276" s="12" t="b">
        <f>IF(COUNTIFS(Table83[[#This Row],[Base Table]:[Energy Table]],"y")&gt;0,"y")</f>
        <v>0</v>
      </c>
      <c r="M276" s="16" t="s">
        <v>18</v>
      </c>
      <c r="N276" s="17" t="s">
        <v>81</v>
      </c>
      <c r="O276" s="17" t="s">
        <v>20</v>
      </c>
      <c r="P276" s="4"/>
    </row>
    <row r="277" spans="1:16" ht="26.1">
      <c r="A277" s="12" t="s">
        <v>601</v>
      </c>
      <c r="B277" s="13">
        <v>0.318</v>
      </c>
      <c r="C277" s="13">
        <v>0.315</v>
      </c>
      <c r="D277" s="14">
        <v>726871</v>
      </c>
      <c r="E277" s="14">
        <v>550265</v>
      </c>
      <c r="F277" s="15" t="s">
        <v>602</v>
      </c>
      <c r="G277" s="18"/>
      <c r="H277" s="18"/>
      <c r="I277" s="18"/>
      <c r="J277" s="12"/>
      <c r="K277" s="12"/>
      <c r="L277" s="12" t="b">
        <f>IF(COUNTIFS(Table83[[#This Row],[Base Table]:[Energy Table]],"y")&gt;0,"y")</f>
        <v>0</v>
      </c>
      <c r="M277" s="16" t="s">
        <v>603</v>
      </c>
      <c r="N277" s="17" t="s">
        <v>604</v>
      </c>
      <c r="O277" s="17" t="s">
        <v>20</v>
      </c>
      <c r="P277" s="4"/>
    </row>
    <row r="278" spans="1:16" ht="26.1">
      <c r="A278" s="12" t="s">
        <v>605</v>
      </c>
      <c r="B278" s="13">
        <v>1</v>
      </c>
      <c r="C278" s="13">
        <v>1</v>
      </c>
      <c r="D278" s="14">
        <v>2283292</v>
      </c>
      <c r="E278" s="14">
        <v>1744350</v>
      </c>
      <c r="F278" s="15" t="s">
        <v>606</v>
      </c>
      <c r="G278" s="18"/>
      <c r="H278" s="18"/>
      <c r="I278" s="18"/>
      <c r="J278" s="12"/>
      <c r="K278" s="12"/>
      <c r="L278" s="12" t="b">
        <f>IF(COUNTIFS(Table83[[#This Row],[Base Table]:[Energy Table]],"y")&gt;0,"y")</f>
        <v>0</v>
      </c>
      <c r="M278" s="16" t="s">
        <v>35</v>
      </c>
      <c r="N278" s="17" t="s">
        <v>92</v>
      </c>
      <c r="O278" s="17" t="s">
        <v>20</v>
      </c>
      <c r="P278" s="4"/>
    </row>
    <row r="279" spans="1:16" ht="26.1">
      <c r="A279" s="12" t="s">
        <v>607</v>
      </c>
      <c r="B279" s="13">
        <v>0.53500000000000003</v>
      </c>
      <c r="C279" s="13">
        <v>0.56399999999999995</v>
      </c>
      <c r="D279" s="14">
        <v>1222698</v>
      </c>
      <c r="E279" s="14">
        <v>983372</v>
      </c>
      <c r="F279" s="15" t="s">
        <v>608</v>
      </c>
      <c r="G279" s="18"/>
      <c r="H279" s="18"/>
      <c r="I279" s="18"/>
      <c r="J279" s="12"/>
      <c r="K279" s="12"/>
      <c r="L279" s="12" t="b">
        <f>IF(COUNTIFS(Table83[[#This Row],[Base Table]:[Energy Table]],"y")&gt;0,"y")</f>
        <v>0</v>
      </c>
      <c r="M279" s="16" t="s">
        <v>77</v>
      </c>
      <c r="N279" s="17" t="s">
        <v>19</v>
      </c>
      <c r="O279" s="17" t="s">
        <v>20</v>
      </c>
      <c r="P279" s="4"/>
    </row>
    <row r="280" spans="1:16">
      <c r="A280" s="12" t="s">
        <v>609</v>
      </c>
      <c r="B280" s="13">
        <v>0.40500000000000003</v>
      </c>
      <c r="C280" s="13">
        <v>0.65100000000000002</v>
      </c>
      <c r="D280" s="14">
        <v>924255</v>
      </c>
      <c r="E280" s="14">
        <v>1135929</v>
      </c>
      <c r="F280" s="15" t="s">
        <v>610</v>
      </c>
      <c r="G280" s="18"/>
      <c r="H280" s="18"/>
      <c r="I280" s="18"/>
      <c r="J280" s="12"/>
      <c r="K280" s="12"/>
      <c r="L280" s="12" t="b">
        <f>IF(COUNTIFS(Table83[[#This Row],[Base Table]:[Energy Table]],"y")&gt;0,"y")</f>
        <v>0</v>
      </c>
      <c r="M280" s="16" t="s">
        <v>466</v>
      </c>
      <c r="N280" s="17" t="s">
        <v>347</v>
      </c>
      <c r="O280" s="17" t="s">
        <v>20</v>
      </c>
      <c r="P280" s="4"/>
    </row>
    <row r="281" spans="1:16" ht="26.1">
      <c r="A281" s="12" t="s">
        <v>611</v>
      </c>
      <c r="B281" s="13">
        <v>0.48299999999999998</v>
      </c>
      <c r="C281" s="13">
        <v>0.45600000000000002</v>
      </c>
      <c r="D281" s="14">
        <v>1102031</v>
      </c>
      <c r="E281" s="14">
        <v>796083</v>
      </c>
      <c r="F281" s="15" t="s">
        <v>612</v>
      </c>
      <c r="G281" s="18"/>
      <c r="H281" s="18"/>
      <c r="I281" s="18"/>
      <c r="J281" s="12"/>
      <c r="K281" s="12"/>
      <c r="L281" s="12" t="b">
        <f>IF(COUNTIFS(Table83[[#This Row],[Base Table]:[Energy Table]],"y")&gt;0,"y")</f>
        <v>0</v>
      </c>
      <c r="M281" s="16" t="s">
        <v>215</v>
      </c>
      <c r="N281" s="17" t="s">
        <v>49</v>
      </c>
      <c r="O281" s="17" t="s">
        <v>20</v>
      </c>
      <c r="P281" s="4"/>
    </row>
    <row r="282" spans="1:16">
      <c r="A282" s="12" t="s">
        <v>613</v>
      </c>
      <c r="B282" s="13">
        <v>0.187</v>
      </c>
      <c r="C282" s="13">
        <v>0.17199999999999999</v>
      </c>
      <c r="D282" s="14">
        <v>426700</v>
      </c>
      <c r="E282" s="14">
        <v>299673</v>
      </c>
      <c r="F282" s="15" t="s">
        <v>614</v>
      </c>
      <c r="G282" s="18"/>
      <c r="H282" s="18"/>
      <c r="I282" s="18"/>
      <c r="J282" s="12"/>
      <c r="K282" s="12"/>
      <c r="L282" s="12" t="b">
        <f>IF(COUNTIFS(Table83[[#This Row],[Base Table]:[Energy Table]],"y")&gt;0,"y")</f>
        <v>0</v>
      </c>
      <c r="M282" s="16" t="s">
        <v>59</v>
      </c>
      <c r="N282" s="17" t="s">
        <v>134</v>
      </c>
      <c r="O282" s="17" t="s">
        <v>20</v>
      </c>
      <c r="P282" s="4"/>
    </row>
    <row r="283" spans="1:16">
      <c r="A283" s="12" t="s">
        <v>615</v>
      </c>
      <c r="B283" s="13">
        <v>1</v>
      </c>
      <c r="C283" s="13">
        <v>1</v>
      </c>
      <c r="D283" s="14">
        <v>2283292</v>
      </c>
      <c r="E283" s="14">
        <v>1744350</v>
      </c>
      <c r="F283" s="15" t="s">
        <v>616</v>
      </c>
      <c r="G283" s="18" t="s">
        <v>17</v>
      </c>
      <c r="H283" s="18" t="s">
        <v>17</v>
      </c>
      <c r="I283" s="18"/>
      <c r="J283" s="12"/>
      <c r="K283" s="12"/>
      <c r="L283" s="12" t="str">
        <f>IF(COUNTIFS(Table83[[#This Row],[Base Table]:[Energy Table]],"y")&gt;0,"y")</f>
        <v>y</v>
      </c>
      <c r="M283" s="16" t="s">
        <v>35</v>
      </c>
      <c r="N283" s="17" t="s">
        <v>19</v>
      </c>
      <c r="O283" s="17" t="s">
        <v>20</v>
      </c>
      <c r="P283" s="4"/>
    </row>
    <row r="284" spans="1:16" ht="26.1">
      <c r="A284" s="12" t="s">
        <v>617</v>
      </c>
      <c r="B284" s="13">
        <v>1</v>
      </c>
      <c r="C284" s="13">
        <v>1</v>
      </c>
      <c r="D284" s="14">
        <v>2283292</v>
      </c>
      <c r="E284" s="14">
        <v>1744350</v>
      </c>
      <c r="F284" s="15" t="s">
        <v>618</v>
      </c>
      <c r="G284" s="18"/>
      <c r="H284" s="18"/>
      <c r="I284" s="18"/>
      <c r="J284" s="12"/>
      <c r="K284" s="12"/>
      <c r="L284" s="12" t="b">
        <f>IF(COUNTIFS(Table83[[#This Row],[Base Table]:[Energy Table]],"y")&gt;0,"y")</f>
        <v>0</v>
      </c>
      <c r="M284" s="16" t="s">
        <v>619</v>
      </c>
      <c r="N284" s="17" t="s">
        <v>19</v>
      </c>
      <c r="O284" s="17" t="s">
        <v>20</v>
      </c>
      <c r="P284" s="4"/>
    </row>
    <row r="285" spans="1:16" ht="26.1">
      <c r="A285" s="12" t="s">
        <v>620</v>
      </c>
      <c r="B285" s="13">
        <v>0.25700000000000001</v>
      </c>
      <c r="C285" s="13">
        <v>0.217</v>
      </c>
      <c r="D285" s="14">
        <v>587073</v>
      </c>
      <c r="E285" s="14">
        <v>378458</v>
      </c>
      <c r="F285" s="15" t="s">
        <v>621</v>
      </c>
      <c r="G285" s="18"/>
      <c r="H285" s="18"/>
      <c r="I285" s="18"/>
      <c r="J285" s="12"/>
      <c r="K285" s="12"/>
      <c r="L285" s="12" t="b">
        <f>IF(COUNTIFS(Table83[[#This Row],[Base Table]:[Energy Table]],"y")&gt;0,"y")</f>
        <v>0</v>
      </c>
      <c r="M285" s="16" t="s">
        <v>622</v>
      </c>
      <c r="N285" s="17" t="s">
        <v>53</v>
      </c>
      <c r="O285" s="17" t="s">
        <v>20</v>
      </c>
      <c r="P285" s="4"/>
    </row>
    <row r="286" spans="1:16" ht="26.1">
      <c r="A286" s="12" t="s">
        <v>623</v>
      </c>
      <c r="B286" s="13">
        <v>0.46500000000000002</v>
      </c>
      <c r="C286" s="13">
        <v>0.436</v>
      </c>
      <c r="D286" s="14">
        <v>1060840</v>
      </c>
      <c r="E286" s="14">
        <v>760851</v>
      </c>
      <c r="F286" s="15" t="s">
        <v>624</v>
      </c>
      <c r="G286" s="18"/>
      <c r="H286" s="18"/>
      <c r="I286" s="18"/>
      <c r="J286" s="12"/>
      <c r="K286" s="12"/>
      <c r="L286" s="12" t="b">
        <f>IF(COUNTIFS(Table83[[#This Row],[Base Table]:[Energy Table]],"y")&gt;0,"y")</f>
        <v>0</v>
      </c>
      <c r="M286" s="16" t="s">
        <v>80</v>
      </c>
      <c r="N286" s="17" t="s">
        <v>92</v>
      </c>
      <c r="O286" s="17" t="s">
        <v>20</v>
      </c>
      <c r="P286" s="4"/>
    </row>
    <row r="287" spans="1:16" ht="39">
      <c r="A287" s="12" t="s">
        <v>625</v>
      </c>
      <c r="B287" s="13">
        <v>0.06</v>
      </c>
      <c r="C287" s="13">
        <v>4.1000000000000002E-2</v>
      </c>
      <c r="D287" s="14">
        <v>137761</v>
      </c>
      <c r="E287" s="14">
        <v>71535</v>
      </c>
      <c r="F287" s="15" t="s">
        <v>626</v>
      </c>
      <c r="G287" s="18"/>
      <c r="H287" s="18"/>
      <c r="I287" s="18"/>
      <c r="J287" s="12"/>
      <c r="K287" s="12"/>
      <c r="L287" s="12" t="b">
        <f>IF(COUNTIFS(Table83[[#This Row],[Base Table]:[Energy Table]],"y")&gt;0,"y")</f>
        <v>0</v>
      </c>
      <c r="M287" s="16" t="s">
        <v>627</v>
      </c>
      <c r="N287" s="17" t="s">
        <v>231</v>
      </c>
      <c r="O287" s="17" t="s">
        <v>20</v>
      </c>
      <c r="P287" s="4"/>
    </row>
    <row r="288" spans="1:16" ht="26.1">
      <c r="A288" s="12" t="s">
        <v>628</v>
      </c>
      <c r="B288" s="13" t="e">
        <v>#N/A</v>
      </c>
      <c r="C288" s="13" t="e">
        <v>#N/A</v>
      </c>
      <c r="D288" s="14" t="e">
        <v>#N/A</v>
      </c>
      <c r="E288" s="14" t="e">
        <v>#N/A</v>
      </c>
      <c r="F288" s="15" t="s">
        <v>629</v>
      </c>
      <c r="G288" s="18"/>
      <c r="H288" s="18"/>
      <c r="I288" s="18"/>
      <c r="J288" s="12"/>
      <c r="K288" s="12"/>
      <c r="L288" s="12" t="b">
        <f>IF(COUNTIFS(Table83[[#This Row],[Base Table]:[Energy Table]],"y")&gt;0,"y")</f>
        <v>0</v>
      </c>
      <c r="M288" s="16" t="s">
        <v>52</v>
      </c>
      <c r="N288" s="17" t="s">
        <v>231</v>
      </c>
      <c r="O288" s="17" t="s">
        <v>20</v>
      </c>
      <c r="P288" s="4"/>
    </row>
    <row r="289" spans="1:16" ht="26.1">
      <c r="A289" s="12" t="s">
        <v>630</v>
      </c>
      <c r="B289" s="13" t="e">
        <v>#N/A</v>
      </c>
      <c r="C289" s="13" t="e">
        <v>#N/A</v>
      </c>
      <c r="D289" s="14" t="e">
        <v>#N/A</v>
      </c>
      <c r="E289" s="14" t="e">
        <v>#N/A</v>
      </c>
      <c r="F289" s="15" t="s">
        <v>631</v>
      </c>
      <c r="G289" s="18"/>
      <c r="H289" s="18"/>
      <c r="I289" s="18"/>
      <c r="J289" s="12"/>
      <c r="K289" s="12"/>
      <c r="L289" s="12" t="b">
        <f>IF(COUNTIFS(Table83[[#This Row],[Base Table]:[Energy Table]],"y")&gt;0,"y")</f>
        <v>0</v>
      </c>
      <c r="M289" s="16" t="s">
        <v>59</v>
      </c>
      <c r="N289" s="17" t="s">
        <v>53</v>
      </c>
      <c r="O289" s="17" t="s">
        <v>20</v>
      </c>
      <c r="P289" s="4"/>
    </row>
    <row r="290" spans="1:16">
      <c r="A290" s="12" t="s">
        <v>632</v>
      </c>
      <c r="B290" s="13" t="e">
        <v>#N/A</v>
      </c>
      <c r="C290" s="13" t="e">
        <v>#N/A</v>
      </c>
      <c r="D290" s="14" t="e">
        <v>#N/A</v>
      </c>
      <c r="E290" s="14" t="e">
        <v>#N/A</v>
      </c>
      <c r="F290" s="15" t="s">
        <v>633</v>
      </c>
      <c r="G290" s="18"/>
      <c r="H290" s="18"/>
      <c r="I290" s="18"/>
      <c r="J290" s="12"/>
      <c r="K290" s="12"/>
      <c r="L290" s="12" t="b">
        <f>IF(COUNTIFS(Table83[[#This Row],[Base Table]:[Energy Table]],"y")&gt;0,"y")</f>
        <v>0</v>
      </c>
      <c r="M290" s="16" t="s">
        <v>59</v>
      </c>
      <c r="N290" s="17" t="s">
        <v>53</v>
      </c>
      <c r="O290" s="17" t="s">
        <v>20</v>
      </c>
      <c r="P290" s="4"/>
    </row>
    <row r="291" spans="1:16" ht="26.1">
      <c r="A291" s="12" t="s">
        <v>634</v>
      </c>
      <c r="B291" s="13" t="e">
        <v>#N/A</v>
      </c>
      <c r="C291" s="13" t="e">
        <v>#N/A</v>
      </c>
      <c r="D291" s="14" t="e">
        <v>#N/A</v>
      </c>
      <c r="E291" s="14" t="e">
        <v>#N/A</v>
      </c>
      <c r="F291" s="15" t="s">
        <v>635</v>
      </c>
      <c r="G291" s="18"/>
      <c r="H291" s="18"/>
      <c r="I291" s="18"/>
      <c r="J291" s="12"/>
      <c r="K291" s="12"/>
      <c r="L291" s="12" t="b">
        <f>IF(COUNTIFS(Table83[[#This Row],[Base Table]:[Energy Table]],"y")&gt;0,"y")</f>
        <v>0</v>
      </c>
      <c r="M291" s="16" t="s">
        <v>52</v>
      </c>
      <c r="N291" s="17" t="s">
        <v>231</v>
      </c>
      <c r="O291" s="17" t="s">
        <v>20</v>
      </c>
      <c r="P291" s="4"/>
    </row>
    <row r="292" spans="1:16" ht="39">
      <c r="A292" s="12" t="s">
        <v>636</v>
      </c>
      <c r="B292" s="13">
        <v>0.06</v>
      </c>
      <c r="C292" s="13">
        <v>4.1000000000000002E-2</v>
      </c>
      <c r="D292" s="14">
        <v>137761</v>
      </c>
      <c r="E292" s="14">
        <v>71535</v>
      </c>
      <c r="F292" s="15" t="s">
        <v>637</v>
      </c>
      <c r="G292" s="18"/>
      <c r="H292" s="18"/>
      <c r="I292" s="18"/>
      <c r="J292" s="12"/>
      <c r="K292" s="12"/>
      <c r="L292" s="12" t="b">
        <f>IF(COUNTIFS(Table83[[#This Row],[Base Table]:[Energy Table]],"y")&gt;0,"y")</f>
        <v>0</v>
      </c>
      <c r="M292" s="16" t="s">
        <v>627</v>
      </c>
      <c r="N292" s="17" t="s">
        <v>231</v>
      </c>
      <c r="O292" s="17" t="s">
        <v>32</v>
      </c>
      <c r="P292" s="4"/>
    </row>
    <row r="293" spans="1:16">
      <c r="A293" s="12" t="s">
        <v>638</v>
      </c>
      <c r="B293" s="13">
        <v>0.378</v>
      </c>
      <c r="C293" s="13">
        <v>0.35</v>
      </c>
      <c r="D293" s="14">
        <v>862367</v>
      </c>
      <c r="E293" s="14">
        <v>610011</v>
      </c>
      <c r="F293" s="15" t="s">
        <v>639</v>
      </c>
      <c r="G293" s="18" t="s">
        <v>17</v>
      </c>
      <c r="H293" s="18" t="s">
        <v>17</v>
      </c>
      <c r="I293" s="18"/>
      <c r="J293" s="12"/>
      <c r="K293" s="12"/>
      <c r="L293" s="12" t="str">
        <f>IF(COUNTIFS(Table83[[#This Row],[Base Table]:[Energy Table]],"y")&gt;0,"y")</f>
        <v>y</v>
      </c>
      <c r="M293" s="16" t="s">
        <v>56</v>
      </c>
      <c r="N293" s="17" t="s">
        <v>53</v>
      </c>
      <c r="O293" s="17" t="s">
        <v>20</v>
      </c>
      <c r="P293" s="4"/>
    </row>
    <row r="294" spans="1:16">
      <c r="A294" s="12" t="s">
        <v>640</v>
      </c>
      <c r="B294" s="13">
        <v>0.378</v>
      </c>
      <c r="C294" s="13">
        <v>0.35</v>
      </c>
      <c r="D294" s="14">
        <v>862367</v>
      </c>
      <c r="E294" s="14">
        <v>610011</v>
      </c>
      <c r="F294" s="15" t="s">
        <v>641</v>
      </c>
      <c r="G294" s="18" t="s">
        <v>17</v>
      </c>
      <c r="H294" s="18" t="s">
        <v>17</v>
      </c>
      <c r="I294" s="18"/>
      <c r="J294" s="12"/>
      <c r="K294" s="12"/>
      <c r="L294" s="12" t="str">
        <f>IF(COUNTIFS(Table83[[#This Row],[Base Table]:[Energy Table]],"y")&gt;0,"y")</f>
        <v>y</v>
      </c>
      <c r="M294" s="16" t="s">
        <v>56</v>
      </c>
      <c r="N294" s="17" t="s">
        <v>53</v>
      </c>
      <c r="O294" s="17" t="s">
        <v>20</v>
      </c>
      <c r="P294" s="4"/>
    </row>
    <row r="295" spans="1:16">
      <c r="A295" s="12" t="s">
        <v>642</v>
      </c>
      <c r="B295" s="13">
        <v>0.378</v>
      </c>
      <c r="C295" s="13">
        <v>0.35</v>
      </c>
      <c r="D295" s="14">
        <v>862367</v>
      </c>
      <c r="E295" s="14">
        <v>610011</v>
      </c>
      <c r="F295" s="15" t="s">
        <v>643</v>
      </c>
      <c r="G295" s="18" t="s">
        <v>17</v>
      </c>
      <c r="H295" s="18" t="s">
        <v>17</v>
      </c>
      <c r="I295" s="18"/>
      <c r="J295" s="12"/>
      <c r="K295" s="12"/>
      <c r="L295" s="12" t="str">
        <f>IF(COUNTIFS(Table83[[#This Row],[Base Table]:[Energy Table]],"y")&gt;0,"y")</f>
        <v>y</v>
      </c>
      <c r="M295" s="16" t="s">
        <v>56</v>
      </c>
      <c r="N295" s="17" t="s">
        <v>53</v>
      </c>
      <c r="O295" s="17" t="s">
        <v>20</v>
      </c>
      <c r="P295" s="4"/>
    </row>
    <row r="296" spans="1:16">
      <c r="A296" s="12" t="s">
        <v>644</v>
      </c>
      <c r="B296" s="13">
        <v>0.06</v>
      </c>
      <c r="C296" s="13">
        <v>4.1000000000000002E-2</v>
      </c>
      <c r="D296" s="14">
        <v>137761</v>
      </c>
      <c r="E296" s="14">
        <v>71535</v>
      </c>
      <c r="F296" s="15" t="s">
        <v>645</v>
      </c>
      <c r="G296" s="18"/>
      <c r="H296" s="18"/>
      <c r="I296" s="18"/>
      <c r="J296" s="12"/>
      <c r="K296" s="12"/>
      <c r="L296" s="12" t="b">
        <f>IF(COUNTIFS(Table83[[#This Row],[Base Table]:[Energy Table]],"y")&gt;0,"y")</f>
        <v>0</v>
      </c>
      <c r="M296" s="16" t="s">
        <v>646</v>
      </c>
      <c r="N296" s="17" t="s">
        <v>231</v>
      </c>
      <c r="O296" s="17" t="s">
        <v>20</v>
      </c>
      <c r="P296" s="4"/>
    </row>
    <row r="297" spans="1:16">
      <c r="A297" s="12" t="s">
        <v>647</v>
      </c>
      <c r="B297" s="13">
        <v>0.06</v>
      </c>
      <c r="C297" s="13">
        <v>4.1000000000000002E-2</v>
      </c>
      <c r="D297" s="14">
        <v>137761</v>
      </c>
      <c r="E297" s="14">
        <v>71535</v>
      </c>
      <c r="F297" s="15" t="s">
        <v>648</v>
      </c>
      <c r="G297" s="18"/>
      <c r="H297" s="18"/>
      <c r="I297" s="18"/>
      <c r="J297" s="12"/>
      <c r="K297" s="12"/>
      <c r="L297" s="12" t="b">
        <f>IF(COUNTIFS(Table83[[#This Row],[Base Table]:[Energy Table]],"y")&gt;0,"y")</f>
        <v>0</v>
      </c>
      <c r="M297" s="16" t="s">
        <v>646</v>
      </c>
      <c r="N297" s="17" t="s">
        <v>231</v>
      </c>
      <c r="O297" s="17" t="s">
        <v>20</v>
      </c>
      <c r="P297" s="4"/>
    </row>
    <row r="298" spans="1:16">
      <c r="A298" s="12" t="s">
        <v>649</v>
      </c>
      <c r="B298" s="13">
        <v>0.06</v>
      </c>
      <c r="C298" s="13">
        <v>4.1000000000000002E-2</v>
      </c>
      <c r="D298" s="14">
        <v>137761</v>
      </c>
      <c r="E298" s="14">
        <v>71535</v>
      </c>
      <c r="F298" s="15" t="s">
        <v>650</v>
      </c>
      <c r="G298" s="18"/>
      <c r="H298" s="18"/>
      <c r="I298" s="18"/>
      <c r="J298" s="12"/>
      <c r="K298" s="12"/>
      <c r="L298" s="12" t="b">
        <f>IF(COUNTIFS(Table83[[#This Row],[Base Table]:[Energy Table]],"y")&gt;0,"y")</f>
        <v>0</v>
      </c>
      <c r="M298" s="16" t="s">
        <v>646</v>
      </c>
      <c r="N298" s="17" t="s">
        <v>231</v>
      </c>
      <c r="O298" s="17" t="s">
        <v>32</v>
      </c>
      <c r="P298" s="4"/>
    </row>
    <row r="299" spans="1:16">
      <c r="A299" s="12" t="s">
        <v>651</v>
      </c>
      <c r="B299" s="13">
        <v>0.06</v>
      </c>
      <c r="C299" s="13">
        <v>4.1000000000000002E-2</v>
      </c>
      <c r="D299" s="14">
        <v>137761</v>
      </c>
      <c r="E299" s="14">
        <v>71535</v>
      </c>
      <c r="F299" s="15" t="s">
        <v>652</v>
      </c>
      <c r="G299" s="18"/>
      <c r="H299" s="18"/>
      <c r="I299" s="18"/>
      <c r="J299" s="12"/>
      <c r="K299" s="12"/>
      <c r="L299" s="12" t="b">
        <f>IF(COUNTIFS(Table83[[#This Row],[Base Table]:[Energy Table]],"y")&gt;0,"y")</f>
        <v>0</v>
      </c>
      <c r="M299" s="16" t="s">
        <v>646</v>
      </c>
      <c r="N299" s="17" t="s">
        <v>231</v>
      </c>
      <c r="O299" s="17" t="s">
        <v>32</v>
      </c>
      <c r="P299" s="4"/>
    </row>
    <row r="300" spans="1:16">
      <c r="A300" s="12" t="s">
        <v>653</v>
      </c>
      <c r="B300" s="13">
        <v>0.06</v>
      </c>
      <c r="C300" s="13">
        <v>4.1000000000000002E-2</v>
      </c>
      <c r="D300" s="14">
        <v>137761</v>
      </c>
      <c r="E300" s="14">
        <v>71535</v>
      </c>
      <c r="F300" s="15" t="s">
        <v>654</v>
      </c>
      <c r="G300" s="18"/>
      <c r="H300" s="18"/>
      <c r="I300" s="18"/>
      <c r="J300" s="12"/>
      <c r="K300" s="12"/>
      <c r="L300" s="12" t="b">
        <f>IF(COUNTIFS(Table83[[#This Row],[Base Table]:[Energy Table]],"y")&gt;0,"y")</f>
        <v>0</v>
      </c>
      <c r="M300" s="16" t="s">
        <v>18</v>
      </c>
      <c r="N300" s="17" t="s">
        <v>231</v>
      </c>
      <c r="O300" s="17" t="s">
        <v>20</v>
      </c>
      <c r="P300" s="4"/>
    </row>
    <row r="301" spans="1:16" s="8" customFormat="1">
      <c r="A301" s="12" t="s">
        <v>655</v>
      </c>
      <c r="B301" s="13">
        <v>0.06</v>
      </c>
      <c r="C301" s="13">
        <v>4.1000000000000002E-2</v>
      </c>
      <c r="D301" s="14">
        <v>137761</v>
      </c>
      <c r="E301" s="14">
        <v>71535</v>
      </c>
      <c r="F301" s="15" t="s">
        <v>656</v>
      </c>
      <c r="G301" s="18"/>
      <c r="H301" s="18"/>
      <c r="I301" s="18"/>
      <c r="J301" s="12"/>
      <c r="K301" s="12"/>
      <c r="L301" s="12" t="b">
        <f>IF(COUNTIFS(Table83[[#This Row],[Base Table]:[Energy Table]],"y")&gt;0,"y")</f>
        <v>0</v>
      </c>
      <c r="M301" s="16" t="s">
        <v>646</v>
      </c>
      <c r="N301" s="17" t="s">
        <v>231</v>
      </c>
      <c r="O301" s="17" t="s">
        <v>20</v>
      </c>
    </row>
    <row r="302" spans="1:16">
      <c r="A302" s="12" t="s">
        <v>657</v>
      </c>
      <c r="B302" s="13">
        <v>0.06</v>
      </c>
      <c r="C302" s="13">
        <v>4.1000000000000002E-2</v>
      </c>
      <c r="D302" s="14">
        <v>137761</v>
      </c>
      <c r="E302" s="14">
        <v>71535</v>
      </c>
      <c r="F302" s="15" t="s">
        <v>658</v>
      </c>
      <c r="G302" s="18"/>
      <c r="H302" s="18"/>
      <c r="I302" s="18"/>
      <c r="J302" s="12"/>
      <c r="K302" s="12"/>
      <c r="L302" s="12" t="b">
        <f>IF(COUNTIFS(Table83[[#This Row],[Base Table]:[Energy Table]],"y")&gt;0,"y")</f>
        <v>0</v>
      </c>
      <c r="M302" s="16" t="s">
        <v>646</v>
      </c>
      <c r="N302" s="17" t="s">
        <v>231</v>
      </c>
      <c r="O302" s="17" t="s">
        <v>20</v>
      </c>
      <c r="P302" s="4"/>
    </row>
    <row r="303" spans="1:16">
      <c r="A303" s="12" t="s">
        <v>659</v>
      </c>
      <c r="B303" s="13">
        <v>0.06</v>
      </c>
      <c r="C303" s="13">
        <v>4.1000000000000002E-2</v>
      </c>
      <c r="D303" s="14">
        <v>137761</v>
      </c>
      <c r="E303" s="14">
        <v>71535</v>
      </c>
      <c r="F303" s="15" t="s">
        <v>660</v>
      </c>
      <c r="G303" s="18"/>
      <c r="H303" s="18"/>
      <c r="I303" s="18"/>
      <c r="J303" s="12"/>
      <c r="K303" s="12"/>
      <c r="L303" s="12" t="b">
        <f>IF(COUNTIFS(Table83[[#This Row],[Base Table]:[Energy Table]],"y")&gt;0,"y")</f>
        <v>0</v>
      </c>
      <c r="M303" s="16" t="s">
        <v>661</v>
      </c>
      <c r="N303" s="17" t="s">
        <v>231</v>
      </c>
      <c r="O303" s="17" t="s">
        <v>32</v>
      </c>
      <c r="P303" s="4"/>
    </row>
    <row r="304" spans="1:16">
      <c r="A304" s="12" t="s">
        <v>662</v>
      </c>
      <c r="B304" s="13">
        <v>0.46100000000000002</v>
      </c>
      <c r="C304" s="13">
        <v>0.434</v>
      </c>
      <c r="D304" s="14">
        <v>1052480</v>
      </c>
      <c r="E304" s="14">
        <v>756850</v>
      </c>
      <c r="F304" s="15" t="s">
        <v>663</v>
      </c>
      <c r="G304" s="18"/>
      <c r="H304" s="18"/>
      <c r="I304" s="18"/>
      <c r="J304" s="12"/>
      <c r="K304" s="12"/>
      <c r="L304" s="12" t="b">
        <f>IF(COUNTIFS(Table83[[#This Row],[Base Table]:[Energy Table]],"y")&gt;0,"y")</f>
        <v>0</v>
      </c>
      <c r="M304" s="16" t="s">
        <v>622</v>
      </c>
      <c r="N304" s="17" t="s">
        <v>92</v>
      </c>
      <c r="O304" s="17" t="s">
        <v>20</v>
      </c>
      <c r="P304" s="4"/>
    </row>
    <row r="305" spans="1:16">
      <c r="A305" s="12" t="s">
        <v>664</v>
      </c>
      <c r="B305" s="13">
        <v>0.46100000000000002</v>
      </c>
      <c r="C305" s="13">
        <v>0.434</v>
      </c>
      <c r="D305" s="14">
        <v>1052480</v>
      </c>
      <c r="E305" s="14">
        <v>757903</v>
      </c>
      <c r="F305" s="15" t="s">
        <v>665</v>
      </c>
      <c r="G305" s="18"/>
      <c r="H305" s="18"/>
      <c r="I305" s="18"/>
      <c r="J305" s="12"/>
      <c r="K305" s="12"/>
      <c r="L305" s="12" t="b">
        <f>IF(COUNTIFS(Table83[[#This Row],[Base Table]:[Energy Table]],"y")&gt;0,"y")</f>
        <v>0</v>
      </c>
      <c r="M305" s="16" t="s">
        <v>622</v>
      </c>
      <c r="N305" s="17" t="s">
        <v>92</v>
      </c>
      <c r="O305" s="17" t="s">
        <v>20</v>
      </c>
      <c r="P305" s="4"/>
    </row>
    <row r="306" spans="1:16">
      <c r="A306" s="12" t="s">
        <v>666</v>
      </c>
      <c r="B306" s="13" t="e">
        <v>#N/A</v>
      </c>
      <c r="C306" s="13" t="e">
        <v>#N/A</v>
      </c>
      <c r="D306" s="14" t="e">
        <v>#N/A</v>
      </c>
      <c r="E306" s="14" t="e">
        <v>#N/A</v>
      </c>
      <c r="F306" s="15" t="s">
        <v>667</v>
      </c>
      <c r="G306" s="18"/>
      <c r="H306" s="18"/>
      <c r="I306" s="18"/>
      <c r="J306" s="12"/>
      <c r="K306" s="12"/>
      <c r="L306" s="12" t="b">
        <f>IF(COUNTIFS(Table83[[#This Row],[Base Table]:[Energy Table]],"y")&gt;0,"y")</f>
        <v>0</v>
      </c>
      <c r="M306" s="16" t="s">
        <v>661</v>
      </c>
      <c r="N306" s="17" t="s">
        <v>231</v>
      </c>
      <c r="O306" s="17" t="s">
        <v>20</v>
      </c>
      <c r="P306" s="4"/>
    </row>
    <row r="307" spans="1:16">
      <c r="A307" s="12" t="s">
        <v>668</v>
      </c>
      <c r="B307" s="13">
        <v>0.378</v>
      </c>
      <c r="C307" s="13">
        <v>0.35</v>
      </c>
      <c r="D307" s="14">
        <v>862367</v>
      </c>
      <c r="E307" s="14">
        <v>610011</v>
      </c>
      <c r="F307" s="15" t="s">
        <v>669</v>
      </c>
      <c r="G307" s="18"/>
      <c r="H307" s="18"/>
      <c r="I307" s="18"/>
      <c r="J307" s="12"/>
      <c r="K307" s="12"/>
      <c r="L307" s="12" t="b">
        <f>IF(COUNTIFS(Table83[[#This Row],[Base Table]:[Energy Table]],"y")&gt;0,"y")</f>
        <v>0</v>
      </c>
      <c r="M307" s="16" t="s">
        <v>56</v>
      </c>
      <c r="N307" s="17" t="s">
        <v>53</v>
      </c>
      <c r="O307" s="17" t="s">
        <v>20</v>
      </c>
      <c r="P307" s="4"/>
    </row>
    <row r="308" spans="1:16">
      <c r="A308" s="12" t="s">
        <v>670</v>
      </c>
      <c r="B308" s="13">
        <v>0.378</v>
      </c>
      <c r="C308" s="13">
        <v>0.35</v>
      </c>
      <c r="D308" s="14">
        <v>862367</v>
      </c>
      <c r="E308" s="14">
        <v>610011</v>
      </c>
      <c r="F308" s="15" t="s">
        <v>671</v>
      </c>
      <c r="G308" s="18" t="s">
        <v>17</v>
      </c>
      <c r="H308" s="18"/>
      <c r="I308" s="18"/>
      <c r="J308" s="12"/>
      <c r="K308" s="12"/>
      <c r="L308" s="12" t="str">
        <f>IF(COUNTIFS(Table83[[#This Row],[Base Table]:[Energy Table]],"y")&gt;0,"y")</f>
        <v>y</v>
      </c>
      <c r="M308" s="16" t="s">
        <v>56</v>
      </c>
      <c r="N308" s="17" t="s">
        <v>53</v>
      </c>
      <c r="O308" s="17" t="s">
        <v>20</v>
      </c>
      <c r="P308" s="4"/>
    </row>
    <row r="309" spans="1:16">
      <c r="A309" s="12" t="s">
        <v>672</v>
      </c>
      <c r="B309" s="13">
        <v>0.378</v>
      </c>
      <c r="C309" s="13">
        <v>0.35</v>
      </c>
      <c r="D309" s="14">
        <v>862367</v>
      </c>
      <c r="E309" s="14">
        <v>610011</v>
      </c>
      <c r="F309" s="15" t="s">
        <v>673</v>
      </c>
      <c r="G309" s="18"/>
      <c r="H309" s="18"/>
      <c r="I309" s="18"/>
      <c r="J309" s="12"/>
      <c r="K309" s="12"/>
      <c r="L309" s="12" t="b">
        <f>IF(COUNTIFS(Table83[[#This Row],[Base Table]:[Energy Table]],"y")&gt;0,"y")</f>
        <v>0</v>
      </c>
      <c r="M309" s="16" t="s">
        <v>56</v>
      </c>
      <c r="N309" s="17" t="s">
        <v>53</v>
      </c>
      <c r="O309" s="17" t="s">
        <v>20</v>
      </c>
      <c r="P309" s="4"/>
    </row>
    <row r="310" spans="1:16">
      <c r="A310" s="12" t="s">
        <v>674</v>
      </c>
      <c r="B310" s="13" t="e">
        <v>#N/A</v>
      </c>
      <c r="C310" s="13" t="e">
        <v>#N/A</v>
      </c>
      <c r="D310" s="14" t="e">
        <v>#N/A</v>
      </c>
      <c r="E310" s="14" t="e">
        <v>#N/A</v>
      </c>
      <c r="F310" s="15" t="s">
        <v>675</v>
      </c>
      <c r="G310" s="18"/>
      <c r="H310" s="18"/>
      <c r="I310" s="18"/>
      <c r="J310" s="12"/>
      <c r="K310" s="12"/>
      <c r="L310" s="12" t="b">
        <f>IF(COUNTIFS(Table83[[#This Row],[Base Table]:[Energy Table]],"y")&gt;0,"y")</f>
        <v>0</v>
      </c>
      <c r="M310" s="16" t="s">
        <v>661</v>
      </c>
      <c r="N310" s="17" t="s">
        <v>231</v>
      </c>
      <c r="O310" s="17" t="s">
        <v>32</v>
      </c>
      <c r="P310" s="4"/>
    </row>
    <row r="311" spans="1:16" ht="26.1">
      <c r="A311" s="12" t="s">
        <v>676</v>
      </c>
      <c r="B311" s="13">
        <v>0.378</v>
      </c>
      <c r="C311" s="13">
        <v>0.35</v>
      </c>
      <c r="D311" s="14">
        <v>862367</v>
      </c>
      <c r="E311" s="14">
        <v>610011</v>
      </c>
      <c r="F311" s="15" t="s">
        <v>677</v>
      </c>
      <c r="G311" s="18"/>
      <c r="H311" s="18"/>
      <c r="I311" s="18"/>
      <c r="J311" s="12"/>
      <c r="K311" s="12"/>
      <c r="L311" s="12" t="b">
        <f>IF(COUNTIFS(Table83[[#This Row],[Base Table]:[Energy Table]],"y")&gt;0,"y")</f>
        <v>0</v>
      </c>
      <c r="M311" s="16" t="s">
        <v>56</v>
      </c>
      <c r="N311" s="17" t="s">
        <v>53</v>
      </c>
      <c r="O311" s="17" t="s">
        <v>20</v>
      </c>
      <c r="P311" s="4"/>
    </row>
    <row r="312" spans="1:16" ht="26.1">
      <c r="A312" s="12" t="s">
        <v>678</v>
      </c>
      <c r="B312" s="13">
        <v>1</v>
      </c>
      <c r="C312" s="13">
        <v>0.999</v>
      </c>
      <c r="D312" s="14">
        <v>2283292</v>
      </c>
      <c r="E312" s="14">
        <v>1742861</v>
      </c>
      <c r="F312" s="15" t="s">
        <v>679</v>
      </c>
      <c r="G312" s="18" t="s">
        <v>17</v>
      </c>
      <c r="H312" s="18" t="s">
        <v>17</v>
      </c>
      <c r="I312" s="18" t="s">
        <v>17</v>
      </c>
      <c r="J312" s="12"/>
      <c r="K312" s="12"/>
      <c r="L312" s="12" t="str">
        <f>IF(COUNTIFS(Table83[[#This Row],[Base Table]:[Energy Table]],"y")&gt;0,"y")</f>
        <v>y</v>
      </c>
      <c r="M312" s="16" t="s">
        <v>18</v>
      </c>
      <c r="N312" s="17"/>
      <c r="O312" s="17" t="s">
        <v>20</v>
      </c>
      <c r="P312" s="4"/>
    </row>
    <row r="313" spans="1:16" ht="26.1">
      <c r="A313" s="12" t="s">
        <v>680</v>
      </c>
      <c r="B313" s="13">
        <v>1</v>
      </c>
      <c r="C313" s="13">
        <v>1</v>
      </c>
      <c r="D313" s="14">
        <v>2283292</v>
      </c>
      <c r="E313" s="14">
        <v>1744350</v>
      </c>
      <c r="F313" s="15" t="s">
        <v>681</v>
      </c>
      <c r="G313" s="18"/>
      <c r="H313" s="18"/>
      <c r="I313" s="18"/>
      <c r="J313" s="12"/>
      <c r="K313" s="12"/>
      <c r="L313" s="12" t="b">
        <f>IF(COUNTIFS(Table83[[#This Row],[Base Table]:[Energy Table]],"y")&gt;0,"y")</f>
        <v>0</v>
      </c>
      <c r="M313" s="16" t="s">
        <v>682</v>
      </c>
      <c r="N313" s="17"/>
      <c r="O313" s="17" t="s">
        <v>20</v>
      </c>
      <c r="P313" s="4"/>
    </row>
    <row r="314" spans="1:16">
      <c r="A314" s="12" t="s">
        <v>683</v>
      </c>
      <c r="B314" s="13">
        <v>4.1000000000000002E-2</v>
      </c>
      <c r="C314" s="13">
        <v>7.0000000000000007E-2</v>
      </c>
      <c r="D314" s="14">
        <v>92728</v>
      </c>
      <c r="E314" s="14">
        <v>121361</v>
      </c>
      <c r="F314" s="15" t="s">
        <v>684</v>
      </c>
      <c r="G314" s="18"/>
      <c r="H314" s="18"/>
      <c r="I314" s="18"/>
      <c r="J314" s="12"/>
      <c r="K314" s="12"/>
      <c r="L314" s="12" t="b">
        <f>IF(COUNTIFS(Table83[[#This Row],[Base Table]:[Energy Table]],"y")&gt;0,"y")</f>
        <v>0</v>
      </c>
      <c r="M314" s="16" t="s">
        <v>23</v>
      </c>
      <c r="N314" s="17" t="s">
        <v>24</v>
      </c>
      <c r="O314" s="17" t="s">
        <v>20</v>
      </c>
      <c r="P314" s="4"/>
    </row>
    <row r="315" spans="1:16">
      <c r="A315" s="12" t="s">
        <v>685</v>
      </c>
      <c r="B315" s="13">
        <v>1</v>
      </c>
      <c r="C315" s="13">
        <v>1</v>
      </c>
      <c r="D315" s="14">
        <v>2283292</v>
      </c>
      <c r="E315" s="14">
        <v>1744350</v>
      </c>
      <c r="F315" s="15" t="s">
        <v>686</v>
      </c>
      <c r="G315" s="18"/>
      <c r="H315" s="18"/>
      <c r="I315" s="18"/>
      <c r="J315" s="12"/>
      <c r="K315" s="12"/>
      <c r="L315" s="12" t="b">
        <f>IF(COUNTIFS(Table83[[#This Row],[Base Table]:[Energy Table]],"y")&gt;0,"y")</f>
        <v>0</v>
      </c>
      <c r="M315" s="16" t="s">
        <v>35</v>
      </c>
      <c r="N315" s="17" t="s">
        <v>19</v>
      </c>
      <c r="O315" s="17" t="s">
        <v>20</v>
      </c>
      <c r="P315" s="4"/>
    </row>
    <row r="316" spans="1:16">
      <c r="A316" s="12" t="s">
        <v>687</v>
      </c>
      <c r="B316" s="13">
        <v>1</v>
      </c>
      <c r="C316" s="13">
        <v>1</v>
      </c>
      <c r="D316" s="14">
        <v>2283292</v>
      </c>
      <c r="E316" s="14">
        <v>1744350</v>
      </c>
      <c r="F316" s="15" t="s">
        <v>688</v>
      </c>
      <c r="G316" s="18" t="s">
        <v>17</v>
      </c>
      <c r="H316" s="18"/>
      <c r="I316" s="18"/>
      <c r="J316" s="12"/>
      <c r="K316" s="12"/>
      <c r="L316" s="12" t="str">
        <f>IF(COUNTIFS(Table83[[#This Row],[Base Table]:[Energy Table]],"y")&gt;0,"y")</f>
        <v>y</v>
      </c>
      <c r="M316" s="16" t="s">
        <v>35</v>
      </c>
      <c r="N316" s="17" t="s">
        <v>19</v>
      </c>
      <c r="O316" s="17" t="s">
        <v>20</v>
      </c>
      <c r="P316" s="4"/>
    </row>
    <row r="317" spans="1:16">
      <c r="A317" s="12" t="s">
        <v>689</v>
      </c>
      <c r="B317" s="13">
        <v>0.48199999999999998</v>
      </c>
      <c r="C317" s="13">
        <v>0.45600000000000002</v>
      </c>
      <c r="D317" s="14">
        <v>1101118</v>
      </c>
      <c r="E317" s="14">
        <v>794812</v>
      </c>
      <c r="F317" s="15" t="s">
        <v>690</v>
      </c>
      <c r="G317" s="18"/>
      <c r="H317" s="18"/>
      <c r="I317" s="18"/>
      <c r="J317" s="12"/>
      <c r="K317" s="12"/>
      <c r="L317" s="12" t="b">
        <f>IF(COUNTIFS(Table83[[#This Row],[Base Table]:[Energy Table]],"y")&gt;0,"y")</f>
        <v>0</v>
      </c>
      <c r="M317" s="16" t="s">
        <v>48</v>
      </c>
      <c r="N317" s="17" t="s">
        <v>49</v>
      </c>
      <c r="O317" s="17" t="s">
        <v>20</v>
      </c>
      <c r="P317" s="4"/>
    </row>
    <row r="318" spans="1:16">
      <c r="A318" s="12" t="s">
        <v>691</v>
      </c>
      <c r="B318" s="13">
        <v>1</v>
      </c>
      <c r="C318" s="13">
        <v>1</v>
      </c>
      <c r="D318" s="14">
        <v>2283292</v>
      </c>
      <c r="E318" s="14">
        <v>1744350</v>
      </c>
      <c r="F318" s="15" t="s">
        <v>692</v>
      </c>
      <c r="G318" s="18" t="s">
        <v>17</v>
      </c>
      <c r="H318" s="18"/>
      <c r="I318" s="18"/>
      <c r="J318" s="12"/>
      <c r="K318" s="12"/>
      <c r="L318" s="12" t="str">
        <f>IF(COUNTIFS(Table83[[#This Row],[Base Table]:[Energy Table]],"y")&gt;0,"y")</f>
        <v>y</v>
      </c>
      <c r="M318" s="16" t="s">
        <v>693</v>
      </c>
      <c r="N318" s="17" t="s">
        <v>19</v>
      </c>
      <c r="O318" s="17" t="s">
        <v>20</v>
      </c>
      <c r="P318" s="4"/>
    </row>
    <row r="319" spans="1:16">
      <c r="A319" s="12" t="s">
        <v>694</v>
      </c>
      <c r="B319" s="13">
        <v>1</v>
      </c>
      <c r="C319" s="13">
        <v>1</v>
      </c>
      <c r="D319" s="14">
        <v>2283292</v>
      </c>
      <c r="E319" s="14">
        <v>1744350</v>
      </c>
      <c r="F319" s="15" t="s">
        <v>695</v>
      </c>
      <c r="G319" s="18"/>
      <c r="H319" s="18"/>
      <c r="I319" s="18"/>
      <c r="J319" s="12"/>
      <c r="K319" s="12"/>
      <c r="L319" s="12" t="b">
        <f>IF(COUNTIFS(Table83[[#This Row],[Base Table]:[Energy Table]],"y")&gt;0,"y")</f>
        <v>0</v>
      </c>
      <c r="M319" s="16" t="s">
        <v>35</v>
      </c>
      <c r="N319" s="17" t="s">
        <v>19</v>
      </c>
      <c r="O319" s="17" t="s">
        <v>20</v>
      </c>
      <c r="P319" s="4"/>
    </row>
    <row r="320" spans="1:16">
      <c r="A320" s="12" t="s">
        <v>696</v>
      </c>
      <c r="B320" s="13">
        <v>1</v>
      </c>
      <c r="C320" s="13">
        <v>1</v>
      </c>
      <c r="D320" s="14">
        <v>2283292</v>
      </c>
      <c r="E320" s="14">
        <v>1744350</v>
      </c>
      <c r="F320" s="15" t="s">
        <v>697</v>
      </c>
      <c r="G320" s="18"/>
      <c r="H320" s="18"/>
      <c r="I320" s="18"/>
      <c r="J320" s="12"/>
      <c r="K320" s="12"/>
      <c r="L320" s="12" t="b">
        <f>IF(COUNTIFS(Table83[[#This Row],[Base Table]:[Energy Table]],"y")&gt;0,"y")</f>
        <v>0</v>
      </c>
      <c r="M320" s="16" t="s">
        <v>18</v>
      </c>
      <c r="N320" s="17" t="s">
        <v>24</v>
      </c>
      <c r="O320" s="17" t="s">
        <v>20</v>
      </c>
      <c r="P320" s="4"/>
    </row>
    <row r="321" spans="1:16">
      <c r="A321" s="12" t="s">
        <v>698</v>
      </c>
      <c r="B321" s="13">
        <v>0.48199999999999998</v>
      </c>
      <c r="C321" s="13">
        <v>0.45600000000000002</v>
      </c>
      <c r="D321" s="14">
        <v>1101118</v>
      </c>
      <c r="E321" s="14">
        <v>794812</v>
      </c>
      <c r="F321" s="15" t="s">
        <v>699</v>
      </c>
      <c r="G321" s="18"/>
      <c r="H321" s="18"/>
      <c r="I321" s="18"/>
      <c r="J321" s="12"/>
      <c r="K321" s="12"/>
      <c r="L321" s="12" t="b">
        <f>IF(COUNTIFS(Table83[[#This Row],[Base Table]:[Energy Table]],"y")&gt;0,"y")</f>
        <v>0</v>
      </c>
      <c r="M321" s="16" t="s">
        <v>48</v>
      </c>
      <c r="N321" s="17" t="s">
        <v>49</v>
      </c>
      <c r="O321" s="17" t="s">
        <v>20</v>
      </c>
      <c r="P321" s="4"/>
    </row>
    <row r="322" spans="1:16">
      <c r="A322" s="12" t="s">
        <v>700</v>
      </c>
      <c r="B322" s="13">
        <v>1</v>
      </c>
      <c r="C322" s="13">
        <v>1</v>
      </c>
      <c r="D322" s="14">
        <v>2283292</v>
      </c>
      <c r="E322" s="14">
        <v>1744350</v>
      </c>
      <c r="F322" s="15" t="s">
        <v>701</v>
      </c>
      <c r="G322" s="18"/>
      <c r="H322" s="18"/>
      <c r="I322" s="18" t="s">
        <v>17</v>
      </c>
      <c r="J322" s="12"/>
      <c r="K322" s="12"/>
      <c r="L322" s="12" t="str">
        <f>IF(COUNTIFS(Table83[[#This Row],[Base Table]:[Energy Table]],"y")&gt;0,"y")</f>
        <v>y</v>
      </c>
      <c r="M322" s="16" t="s">
        <v>18</v>
      </c>
      <c r="N322" s="17" t="s">
        <v>19</v>
      </c>
      <c r="O322" s="17" t="s">
        <v>32</v>
      </c>
      <c r="P322" s="4"/>
    </row>
    <row r="323" spans="1:16">
      <c r="A323" s="12" t="s">
        <v>702</v>
      </c>
      <c r="B323" s="13">
        <v>1</v>
      </c>
      <c r="C323" s="13">
        <v>1</v>
      </c>
      <c r="D323" s="14">
        <v>2283292</v>
      </c>
      <c r="E323" s="14">
        <v>1744350</v>
      </c>
      <c r="F323" s="15" t="s">
        <v>703</v>
      </c>
      <c r="G323" s="18"/>
      <c r="H323" s="18"/>
      <c r="I323" s="18" t="s">
        <v>17</v>
      </c>
      <c r="J323" s="12"/>
      <c r="K323" s="12"/>
      <c r="L323" s="12" t="str">
        <f>IF(COUNTIFS(Table83[[#This Row],[Base Table]:[Energy Table]],"y")&gt;0,"y")</f>
        <v>y</v>
      </c>
      <c r="M323" s="16" t="s">
        <v>18</v>
      </c>
      <c r="N323" s="17" t="s">
        <v>19</v>
      </c>
      <c r="O323" s="17" t="s">
        <v>32</v>
      </c>
      <c r="P323" s="4"/>
    </row>
    <row r="324" spans="1:16">
      <c r="A324" s="12" t="s">
        <v>704</v>
      </c>
      <c r="B324" s="13">
        <v>1</v>
      </c>
      <c r="C324" s="13">
        <v>1</v>
      </c>
      <c r="D324" s="14">
        <v>2283292</v>
      </c>
      <c r="E324" s="14">
        <v>1744350</v>
      </c>
      <c r="F324" s="15" t="s">
        <v>705</v>
      </c>
      <c r="G324" s="18"/>
      <c r="H324" s="18"/>
      <c r="I324" s="18" t="s">
        <v>17</v>
      </c>
      <c r="J324" s="12"/>
      <c r="K324" s="12"/>
      <c r="L324" s="12" t="str">
        <f>IF(COUNTIFS(Table83[[#This Row],[Base Table]:[Energy Table]],"y")&gt;0,"y")</f>
        <v>y</v>
      </c>
      <c r="M324" s="16" t="s">
        <v>18</v>
      </c>
      <c r="N324" s="17" t="s">
        <v>19</v>
      </c>
      <c r="O324" s="17" t="s">
        <v>32</v>
      </c>
      <c r="P324" s="4"/>
    </row>
    <row r="325" spans="1:16">
      <c r="A325" s="12" t="s">
        <v>706</v>
      </c>
      <c r="B325" s="13">
        <v>1</v>
      </c>
      <c r="C325" s="13">
        <v>1</v>
      </c>
      <c r="D325" s="14">
        <v>2283292</v>
      </c>
      <c r="E325" s="14">
        <v>1744350</v>
      </c>
      <c r="F325" s="15" t="s">
        <v>707</v>
      </c>
      <c r="G325" s="18"/>
      <c r="H325" s="18"/>
      <c r="I325" s="18" t="s">
        <v>17</v>
      </c>
      <c r="J325" s="12"/>
      <c r="K325" s="12"/>
      <c r="L325" s="12" t="str">
        <f>IF(COUNTIFS(Table83[[#This Row],[Base Table]:[Energy Table]],"y")&gt;0,"y")</f>
        <v>y</v>
      </c>
      <c r="M325" s="16" t="s">
        <v>18</v>
      </c>
      <c r="N325" s="17" t="s">
        <v>19</v>
      </c>
      <c r="O325" s="17" t="s">
        <v>32</v>
      </c>
      <c r="P325" s="4"/>
    </row>
    <row r="326" spans="1:16">
      <c r="A326" s="12" t="s">
        <v>708</v>
      </c>
      <c r="B326" s="13">
        <v>1</v>
      </c>
      <c r="C326" s="13">
        <v>1</v>
      </c>
      <c r="D326" s="14">
        <v>2283292</v>
      </c>
      <c r="E326" s="14">
        <v>1744350</v>
      </c>
      <c r="F326" s="15" t="s">
        <v>709</v>
      </c>
      <c r="G326" s="18"/>
      <c r="H326" s="18"/>
      <c r="I326" s="18" t="s">
        <v>17</v>
      </c>
      <c r="J326" s="12"/>
      <c r="K326" s="12"/>
      <c r="L326" s="12" t="str">
        <f>IF(COUNTIFS(Table83[[#This Row],[Base Table]:[Energy Table]],"y")&gt;0,"y")</f>
        <v>y</v>
      </c>
      <c r="M326" s="16" t="s">
        <v>18</v>
      </c>
      <c r="N326" s="17" t="s">
        <v>19</v>
      </c>
      <c r="O326" s="17" t="s">
        <v>32</v>
      </c>
      <c r="P326" s="4"/>
    </row>
    <row r="327" spans="1:16">
      <c r="A327" s="12" t="s">
        <v>710</v>
      </c>
      <c r="B327" s="13">
        <v>1</v>
      </c>
      <c r="C327" s="13">
        <v>1</v>
      </c>
      <c r="D327" s="14">
        <v>2283292</v>
      </c>
      <c r="E327" s="14">
        <v>1744350</v>
      </c>
      <c r="F327" s="15" t="s">
        <v>711</v>
      </c>
      <c r="G327" s="18" t="s">
        <v>17</v>
      </c>
      <c r="H327" s="18" t="s">
        <v>17</v>
      </c>
      <c r="I327" s="18"/>
      <c r="J327" s="12"/>
      <c r="K327" s="12"/>
      <c r="L327" s="12" t="str">
        <f>IF(COUNTIFS(Table83[[#This Row],[Base Table]:[Energy Table]],"y")&gt;0,"y")</f>
        <v>y</v>
      </c>
      <c r="M327" s="16" t="s">
        <v>18</v>
      </c>
      <c r="N327" s="17" t="s">
        <v>19</v>
      </c>
      <c r="O327" s="17" t="s">
        <v>20</v>
      </c>
      <c r="P327" s="4"/>
    </row>
    <row r="328" spans="1:16">
      <c r="A328" s="12" t="s">
        <v>712</v>
      </c>
      <c r="B328" s="13">
        <v>1</v>
      </c>
      <c r="C328" s="13">
        <v>1</v>
      </c>
      <c r="D328" s="14">
        <v>2283292</v>
      </c>
      <c r="E328" s="14">
        <v>1744350</v>
      </c>
      <c r="F328" s="15" t="s">
        <v>713</v>
      </c>
      <c r="G328" s="18" t="s">
        <v>17</v>
      </c>
      <c r="H328" s="18" t="s">
        <v>17</v>
      </c>
      <c r="I328" s="18"/>
      <c r="J328" s="12"/>
      <c r="K328" s="12"/>
      <c r="L328" s="12" t="str">
        <f>IF(COUNTIFS(Table83[[#This Row],[Base Table]:[Energy Table]],"y")&gt;0,"y")</f>
        <v>y</v>
      </c>
      <c r="M328" s="16" t="s">
        <v>18</v>
      </c>
      <c r="N328" s="17" t="s">
        <v>19</v>
      </c>
      <c r="O328" s="17" t="s">
        <v>20</v>
      </c>
      <c r="P328" s="4"/>
    </row>
    <row r="329" spans="1:16">
      <c r="A329" s="12" t="s">
        <v>714</v>
      </c>
      <c r="B329" s="13">
        <v>1</v>
      </c>
      <c r="C329" s="13">
        <v>1</v>
      </c>
      <c r="D329" s="14">
        <v>2283292</v>
      </c>
      <c r="E329" s="14">
        <v>1744350</v>
      </c>
      <c r="F329" s="15" t="s">
        <v>715</v>
      </c>
      <c r="G329" s="18" t="s">
        <v>17</v>
      </c>
      <c r="H329" s="18" t="s">
        <v>17</v>
      </c>
      <c r="I329" s="18"/>
      <c r="J329" s="12"/>
      <c r="K329" s="12"/>
      <c r="L329" s="12" t="str">
        <f>IF(COUNTIFS(Table83[[#This Row],[Base Table]:[Energy Table]],"y")&gt;0,"y")</f>
        <v>y</v>
      </c>
      <c r="M329" s="16" t="s">
        <v>18</v>
      </c>
      <c r="N329" s="17" t="s">
        <v>19</v>
      </c>
      <c r="O329" s="17" t="s">
        <v>20</v>
      </c>
      <c r="P329" s="4"/>
    </row>
    <row r="330" spans="1:16">
      <c r="A330" s="12" t="s">
        <v>716</v>
      </c>
      <c r="B330" s="13">
        <v>1</v>
      </c>
      <c r="C330" s="13">
        <v>1</v>
      </c>
      <c r="D330" s="14">
        <v>2283292</v>
      </c>
      <c r="E330" s="14">
        <v>1744350</v>
      </c>
      <c r="F330" s="15" t="s">
        <v>717</v>
      </c>
      <c r="G330" s="18" t="s">
        <v>17</v>
      </c>
      <c r="H330" s="18" t="s">
        <v>17</v>
      </c>
      <c r="I330" s="18"/>
      <c r="J330" s="12"/>
      <c r="K330" s="12"/>
      <c r="L330" s="12" t="str">
        <f>IF(COUNTIFS(Table83[[#This Row],[Base Table]:[Energy Table]],"y")&gt;0,"y")</f>
        <v>y</v>
      </c>
      <c r="M330" s="16" t="s">
        <v>18</v>
      </c>
      <c r="N330" s="17" t="s">
        <v>19</v>
      </c>
      <c r="O330" s="17" t="s">
        <v>20</v>
      </c>
      <c r="P330" s="4"/>
    </row>
    <row r="331" spans="1:16">
      <c r="A331" s="12" t="s">
        <v>718</v>
      </c>
      <c r="B331" s="13">
        <v>1</v>
      </c>
      <c r="C331" s="13">
        <v>1</v>
      </c>
      <c r="D331" s="14">
        <v>2283292</v>
      </c>
      <c r="E331" s="14">
        <v>1744350</v>
      </c>
      <c r="F331" s="15" t="s">
        <v>719</v>
      </c>
      <c r="G331" s="18" t="s">
        <v>17</v>
      </c>
      <c r="H331" s="18" t="s">
        <v>17</v>
      </c>
      <c r="I331" s="18"/>
      <c r="J331" s="12"/>
      <c r="K331" s="12"/>
      <c r="L331" s="12" t="str">
        <f>IF(COUNTIFS(Table83[[#This Row],[Base Table]:[Energy Table]],"y")&gt;0,"y")</f>
        <v>y</v>
      </c>
      <c r="M331" s="16" t="s">
        <v>18</v>
      </c>
      <c r="N331" s="17" t="s">
        <v>19</v>
      </c>
      <c r="O331" s="17" t="s">
        <v>20</v>
      </c>
      <c r="P331" s="4"/>
    </row>
    <row r="332" spans="1:16">
      <c r="A332" s="12" t="s">
        <v>720</v>
      </c>
      <c r="B332" s="13">
        <v>0.55800000000000005</v>
      </c>
      <c r="C332" s="13">
        <v>0.54</v>
      </c>
      <c r="D332" s="14">
        <v>1274939</v>
      </c>
      <c r="E332" s="14">
        <v>941992</v>
      </c>
      <c r="F332" s="15" t="s">
        <v>721</v>
      </c>
      <c r="G332" s="18"/>
      <c r="H332" s="18"/>
      <c r="I332" s="18"/>
      <c r="J332" s="12"/>
      <c r="K332" s="12"/>
      <c r="L332" s="12" t="b">
        <f>IF(COUNTIFS(Table83[[#This Row],[Base Table]:[Energy Table]],"y")&gt;0,"y")</f>
        <v>0</v>
      </c>
      <c r="M332" s="16" t="s">
        <v>35</v>
      </c>
      <c r="N332" s="17" t="s">
        <v>49</v>
      </c>
      <c r="O332" s="17" t="s">
        <v>20</v>
      </c>
      <c r="P332" s="4"/>
    </row>
    <row r="333" spans="1:16">
      <c r="A333" s="12" t="s">
        <v>722</v>
      </c>
      <c r="B333" s="13">
        <v>1</v>
      </c>
      <c r="C333" s="13">
        <v>1</v>
      </c>
      <c r="D333" s="14">
        <v>2283264</v>
      </c>
      <c r="E333" s="14">
        <v>1744350</v>
      </c>
      <c r="F333" s="15" t="s">
        <v>723</v>
      </c>
      <c r="G333" s="18" t="s">
        <v>17</v>
      </c>
      <c r="H333" s="18" t="s">
        <v>17</v>
      </c>
      <c r="I333" s="18"/>
      <c r="J333" s="12"/>
      <c r="K333" s="12"/>
      <c r="L333" s="12" t="str">
        <f>IF(COUNTIFS(Table83[[#This Row],[Base Table]:[Energy Table]],"y")&gt;0,"y")</f>
        <v>y</v>
      </c>
      <c r="M333" s="16" t="s">
        <v>40</v>
      </c>
      <c r="N333" s="17" t="s">
        <v>19</v>
      </c>
      <c r="O333" s="17" t="s">
        <v>20</v>
      </c>
      <c r="P333" s="4"/>
    </row>
    <row r="334" spans="1:16">
      <c r="A334" s="12" t="s">
        <v>724</v>
      </c>
      <c r="B334" s="13">
        <v>1</v>
      </c>
      <c r="C334" s="13">
        <v>1</v>
      </c>
      <c r="D334" s="14">
        <v>2283292</v>
      </c>
      <c r="E334" s="14">
        <v>1744350</v>
      </c>
      <c r="F334" s="15" t="s">
        <v>725</v>
      </c>
      <c r="G334" s="18" t="s">
        <v>17</v>
      </c>
      <c r="H334" s="18" t="s">
        <v>17</v>
      </c>
      <c r="I334" s="18"/>
      <c r="J334" s="12"/>
      <c r="K334" s="12"/>
      <c r="L334" s="12" t="str">
        <f>IF(COUNTIFS(Table83[[#This Row],[Base Table]:[Energy Table]],"y")&gt;0,"y")</f>
        <v>y</v>
      </c>
      <c r="M334" s="16" t="s">
        <v>35</v>
      </c>
      <c r="N334" s="17" t="s">
        <v>19</v>
      </c>
      <c r="O334" s="17" t="s">
        <v>20</v>
      </c>
      <c r="P334" s="4"/>
    </row>
    <row r="335" spans="1:16">
      <c r="A335" s="12" t="s">
        <v>726</v>
      </c>
      <c r="B335" s="13">
        <v>0.90900000000000003</v>
      </c>
      <c r="C335" s="13">
        <v>0.94899999999999995</v>
      </c>
      <c r="D335" s="14">
        <v>2076410</v>
      </c>
      <c r="E335" s="14">
        <v>1654589</v>
      </c>
      <c r="F335" s="15" t="s">
        <v>727</v>
      </c>
      <c r="G335" s="18" t="s">
        <v>17</v>
      </c>
      <c r="H335" s="18" t="s">
        <v>17</v>
      </c>
      <c r="I335" s="18"/>
      <c r="J335" s="12"/>
      <c r="K335" s="12"/>
      <c r="L335" s="12" t="str">
        <f>IF(COUNTIFS(Table83[[#This Row],[Base Table]:[Energy Table]],"y")&gt;0,"y")</f>
        <v>y</v>
      </c>
      <c r="M335" s="16" t="s">
        <v>35</v>
      </c>
      <c r="N335" s="17" t="s">
        <v>347</v>
      </c>
      <c r="O335" s="17" t="s">
        <v>20</v>
      </c>
      <c r="P335" s="4"/>
    </row>
    <row r="336" spans="1:16" s="8" customFormat="1">
      <c r="A336" s="12" t="s">
        <v>728</v>
      </c>
      <c r="B336" s="13">
        <v>1</v>
      </c>
      <c r="C336" s="13">
        <v>1</v>
      </c>
      <c r="D336" s="14">
        <v>2283292</v>
      </c>
      <c r="E336" s="14">
        <v>1744350</v>
      </c>
      <c r="F336" s="15" t="s">
        <v>729</v>
      </c>
      <c r="G336" s="18"/>
      <c r="H336" s="18"/>
      <c r="I336" s="18" t="s">
        <v>17</v>
      </c>
      <c r="J336" s="12"/>
      <c r="K336" s="12"/>
      <c r="L336" s="12" t="str">
        <f>IF(COUNTIFS(Table83[[#This Row],[Base Table]:[Energy Table]],"y")&gt;0,"y")</f>
        <v>y</v>
      </c>
      <c r="M336" s="16" t="s">
        <v>35</v>
      </c>
      <c r="N336" s="17" t="s">
        <v>19</v>
      </c>
      <c r="O336" s="17" t="s">
        <v>20</v>
      </c>
    </row>
    <row r="337" spans="1:16" s="8" customFormat="1">
      <c r="A337" s="12" t="s">
        <v>730</v>
      </c>
      <c r="B337" s="13">
        <v>0.55800000000000005</v>
      </c>
      <c r="C337" s="13">
        <v>0.54</v>
      </c>
      <c r="D337" s="14">
        <v>1274939</v>
      </c>
      <c r="E337" s="14">
        <v>941992</v>
      </c>
      <c r="F337" s="15" t="s">
        <v>731</v>
      </c>
      <c r="G337" s="18"/>
      <c r="H337" s="18"/>
      <c r="I337" s="18" t="s">
        <v>17</v>
      </c>
      <c r="J337" s="12"/>
      <c r="K337" s="12"/>
      <c r="L337" s="12" t="str">
        <f>IF(COUNTIFS(Table83[[#This Row],[Base Table]:[Energy Table]],"y")&gt;0,"y")</f>
        <v>y</v>
      </c>
      <c r="M337" s="16" t="s">
        <v>35</v>
      </c>
      <c r="N337" s="17" t="s">
        <v>49</v>
      </c>
      <c r="O337" s="17" t="s">
        <v>20</v>
      </c>
    </row>
    <row r="338" spans="1:16">
      <c r="A338" s="12" t="s">
        <v>732</v>
      </c>
      <c r="B338" s="13">
        <v>1</v>
      </c>
      <c r="C338" s="13">
        <v>1</v>
      </c>
      <c r="D338" s="14">
        <v>2283292</v>
      </c>
      <c r="E338" s="14">
        <v>1744350</v>
      </c>
      <c r="F338" s="15" t="s">
        <v>733</v>
      </c>
      <c r="G338" s="18"/>
      <c r="H338" s="18"/>
      <c r="I338" s="18" t="s">
        <v>17</v>
      </c>
      <c r="J338" s="12"/>
      <c r="K338" s="12"/>
      <c r="L338" s="12" t="str">
        <f>IF(COUNTIFS(Table83[[#This Row],[Base Table]:[Energy Table]],"y")&gt;0,"y")</f>
        <v>y</v>
      </c>
      <c r="M338" s="16" t="s">
        <v>35</v>
      </c>
      <c r="N338" s="17" t="s">
        <v>19</v>
      </c>
      <c r="O338" s="17" t="s">
        <v>20</v>
      </c>
      <c r="P338" s="4"/>
    </row>
    <row r="339" spans="1:16">
      <c r="A339" s="12" t="s">
        <v>734</v>
      </c>
      <c r="B339" s="13">
        <v>0.55800000000000005</v>
      </c>
      <c r="C339" s="13">
        <v>0.54</v>
      </c>
      <c r="D339" s="14">
        <v>1274939</v>
      </c>
      <c r="E339" s="14">
        <v>941992</v>
      </c>
      <c r="F339" s="15" t="s">
        <v>735</v>
      </c>
      <c r="G339" s="18"/>
      <c r="H339" s="18"/>
      <c r="I339" s="18" t="s">
        <v>17</v>
      </c>
      <c r="J339" s="12"/>
      <c r="K339" s="12"/>
      <c r="L339" s="12" t="str">
        <f>IF(COUNTIFS(Table83[[#This Row],[Base Table]:[Energy Table]],"y")&gt;0,"y")</f>
        <v>y</v>
      </c>
      <c r="M339" s="16" t="s">
        <v>35</v>
      </c>
      <c r="N339" s="17" t="s">
        <v>49</v>
      </c>
      <c r="O339" s="17" t="s">
        <v>20</v>
      </c>
      <c r="P339" s="4"/>
    </row>
    <row r="340" spans="1:16">
      <c r="A340" s="12" t="s">
        <v>736</v>
      </c>
      <c r="B340" s="13">
        <v>1</v>
      </c>
      <c r="C340" s="13">
        <v>1</v>
      </c>
      <c r="D340" s="14">
        <v>2283292</v>
      </c>
      <c r="E340" s="14">
        <v>1744350</v>
      </c>
      <c r="F340" s="15" t="s">
        <v>737</v>
      </c>
      <c r="G340" s="18"/>
      <c r="H340" s="18"/>
      <c r="I340" s="18" t="s">
        <v>17</v>
      </c>
      <c r="J340" s="12"/>
      <c r="K340" s="12"/>
      <c r="L340" s="12" t="str">
        <f>IF(COUNTIFS(Table83[[#This Row],[Base Table]:[Energy Table]],"y")&gt;0,"y")</f>
        <v>y</v>
      </c>
      <c r="M340" s="16" t="s">
        <v>35</v>
      </c>
      <c r="N340" s="17" t="s">
        <v>19</v>
      </c>
      <c r="O340" s="17" t="s">
        <v>20</v>
      </c>
      <c r="P340" s="4"/>
    </row>
    <row r="341" spans="1:16">
      <c r="A341" s="12" t="s">
        <v>738</v>
      </c>
      <c r="B341" s="13">
        <v>1</v>
      </c>
      <c r="C341" s="13">
        <v>1</v>
      </c>
      <c r="D341" s="14">
        <v>2283292</v>
      </c>
      <c r="E341" s="14">
        <v>1744350</v>
      </c>
      <c r="F341" s="15" t="s">
        <v>739</v>
      </c>
      <c r="G341" s="18"/>
      <c r="H341" s="18"/>
      <c r="I341" s="18" t="s">
        <v>17</v>
      </c>
      <c r="J341" s="12"/>
      <c r="K341" s="12"/>
      <c r="L341" s="12" t="str">
        <f>IF(COUNTIFS(Table83[[#This Row],[Base Table]:[Energy Table]],"y")&gt;0,"y")</f>
        <v>y</v>
      </c>
      <c r="M341" s="16" t="s">
        <v>35</v>
      </c>
      <c r="N341" s="17" t="s">
        <v>19</v>
      </c>
      <c r="O341" s="17" t="s">
        <v>20</v>
      </c>
      <c r="P341" s="4"/>
    </row>
    <row r="342" spans="1:16">
      <c r="A342" s="12" t="s">
        <v>740</v>
      </c>
      <c r="B342" s="13">
        <v>1</v>
      </c>
      <c r="C342" s="13">
        <v>1</v>
      </c>
      <c r="D342" s="14">
        <v>2283292</v>
      </c>
      <c r="E342" s="14">
        <v>1744350</v>
      </c>
      <c r="F342" s="15" t="s">
        <v>741</v>
      </c>
      <c r="G342" s="18"/>
      <c r="H342" s="18"/>
      <c r="I342" s="18" t="s">
        <v>17</v>
      </c>
      <c r="J342" s="12"/>
      <c r="K342" s="12"/>
      <c r="L342" s="12" t="str">
        <f>IF(COUNTIFS(Table83[[#This Row],[Base Table]:[Energy Table]],"y")&gt;0,"y")</f>
        <v>y</v>
      </c>
      <c r="M342" s="16" t="s">
        <v>35</v>
      </c>
      <c r="N342" s="17" t="s">
        <v>19</v>
      </c>
      <c r="O342" s="17" t="s">
        <v>20</v>
      </c>
      <c r="P342" s="4"/>
    </row>
    <row r="343" spans="1:16">
      <c r="A343" s="12" t="s">
        <v>742</v>
      </c>
      <c r="B343" s="13">
        <v>1</v>
      </c>
      <c r="C343" s="13">
        <v>1</v>
      </c>
      <c r="D343" s="14">
        <v>2283292</v>
      </c>
      <c r="E343" s="14">
        <v>1744350</v>
      </c>
      <c r="F343" s="15" t="s">
        <v>743</v>
      </c>
      <c r="G343" s="18"/>
      <c r="H343" s="18"/>
      <c r="I343" s="18" t="s">
        <v>17</v>
      </c>
      <c r="J343" s="12"/>
      <c r="K343" s="12"/>
      <c r="L343" s="12" t="str">
        <f>IF(COUNTIFS(Table83[[#This Row],[Base Table]:[Energy Table]],"y")&gt;0,"y")</f>
        <v>y</v>
      </c>
      <c r="M343" s="16" t="s">
        <v>35</v>
      </c>
      <c r="N343" s="17" t="s">
        <v>19</v>
      </c>
      <c r="O343" s="17" t="s">
        <v>20</v>
      </c>
      <c r="P343" s="4"/>
    </row>
    <row r="344" spans="1:16">
      <c r="A344" s="12" t="s">
        <v>744</v>
      </c>
      <c r="B344" s="13">
        <v>0.48199999999999998</v>
      </c>
      <c r="C344" s="13">
        <v>0.45600000000000002</v>
      </c>
      <c r="D344" s="14">
        <v>1101118</v>
      </c>
      <c r="E344" s="14">
        <v>794812</v>
      </c>
      <c r="F344" s="15" t="s">
        <v>745</v>
      </c>
      <c r="G344" s="18"/>
      <c r="H344" s="18"/>
      <c r="I344" s="18"/>
      <c r="J344" s="12"/>
      <c r="K344" s="12"/>
      <c r="L344" s="12" t="b">
        <f>IF(COUNTIFS(Table83[[#This Row],[Base Table]:[Energy Table]],"y")&gt;0,"y")</f>
        <v>0</v>
      </c>
      <c r="M344" s="16" t="s">
        <v>48</v>
      </c>
      <c r="N344" s="17" t="s">
        <v>49</v>
      </c>
      <c r="O344" s="17" t="s">
        <v>20</v>
      </c>
      <c r="P344" s="4"/>
    </row>
    <row r="345" spans="1:16">
      <c r="A345" s="12" t="s">
        <v>746</v>
      </c>
      <c r="B345" s="13">
        <v>0.48199999999999998</v>
      </c>
      <c r="C345" s="13">
        <v>0.45600000000000002</v>
      </c>
      <c r="D345" s="14">
        <v>1101118</v>
      </c>
      <c r="E345" s="14">
        <v>794812</v>
      </c>
      <c r="F345" s="15" t="s">
        <v>747</v>
      </c>
      <c r="G345" s="18"/>
      <c r="H345" s="18"/>
      <c r="I345" s="18"/>
      <c r="J345" s="12"/>
      <c r="K345" s="12"/>
      <c r="L345" s="12" t="b">
        <f>IF(COUNTIFS(Table83[[#This Row],[Base Table]:[Energy Table]],"y")&gt;0,"y")</f>
        <v>0</v>
      </c>
      <c r="M345" s="16" t="s">
        <v>48</v>
      </c>
      <c r="N345" s="17" t="s">
        <v>49</v>
      </c>
      <c r="O345" s="17" t="s">
        <v>20</v>
      </c>
      <c r="P345" s="4"/>
    </row>
    <row r="346" spans="1:16">
      <c r="A346" s="12" t="s">
        <v>748</v>
      </c>
      <c r="B346" s="13">
        <v>1</v>
      </c>
      <c r="C346" s="13">
        <v>1</v>
      </c>
      <c r="D346" s="14">
        <v>2283292</v>
      </c>
      <c r="E346" s="14">
        <v>1744350</v>
      </c>
      <c r="F346" s="15" t="s">
        <v>749</v>
      </c>
      <c r="G346" s="18" t="s">
        <v>17</v>
      </c>
      <c r="H346" s="18" t="s">
        <v>17</v>
      </c>
      <c r="I346" s="18"/>
      <c r="J346" s="12"/>
      <c r="K346" s="12"/>
      <c r="L346" s="12" t="str">
        <f>IF(COUNTIFS(Table83[[#This Row],[Base Table]:[Energy Table]],"y")&gt;0,"y")</f>
        <v>y</v>
      </c>
      <c r="M346" s="16" t="s">
        <v>35</v>
      </c>
      <c r="N346" s="17" t="s">
        <v>19</v>
      </c>
      <c r="O346" s="17" t="s">
        <v>20</v>
      </c>
      <c r="P346" s="4"/>
    </row>
    <row r="347" spans="1:16">
      <c r="A347" s="12" t="s">
        <v>750</v>
      </c>
      <c r="B347" s="13">
        <v>0.44900000000000001</v>
      </c>
      <c r="C347" s="13">
        <v>0.82099999999999995</v>
      </c>
      <c r="D347" s="14">
        <v>1024363</v>
      </c>
      <c r="E347" s="14">
        <v>1432618</v>
      </c>
      <c r="F347" s="15" t="s">
        <v>751</v>
      </c>
      <c r="G347" s="18" t="s">
        <v>17</v>
      </c>
      <c r="H347" s="18" t="s">
        <v>17</v>
      </c>
      <c r="I347" s="18"/>
      <c r="J347" s="12"/>
      <c r="K347" s="12"/>
      <c r="L347" s="12" t="str">
        <f>IF(COUNTIFS(Table83[[#This Row],[Base Table]:[Energy Table]],"y")&gt;0,"y")</f>
        <v>y</v>
      </c>
      <c r="M347" s="16" t="s">
        <v>40</v>
      </c>
      <c r="N347" s="17" t="s">
        <v>19</v>
      </c>
      <c r="O347" s="17" t="s">
        <v>20</v>
      </c>
      <c r="P347" s="4"/>
    </row>
    <row r="348" spans="1:16">
      <c r="A348" s="12" t="s">
        <v>752</v>
      </c>
      <c r="B348" s="13">
        <v>0.53400000000000003</v>
      </c>
      <c r="C348" s="13">
        <v>0.56200000000000006</v>
      </c>
      <c r="D348" s="14">
        <v>1218638</v>
      </c>
      <c r="E348" s="14">
        <v>980796</v>
      </c>
      <c r="F348" s="15" t="s">
        <v>753</v>
      </c>
      <c r="G348" s="18"/>
      <c r="H348" s="18"/>
      <c r="I348" s="18"/>
      <c r="J348" s="12"/>
      <c r="K348" s="12"/>
      <c r="L348" s="12" t="b">
        <f>IF(COUNTIFS(Table83[[#This Row],[Base Table]:[Energy Table]],"y")&gt;0,"y")</f>
        <v>0</v>
      </c>
      <c r="M348" s="16" t="s">
        <v>77</v>
      </c>
      <c r="N348" s="17" t="s">
        <v>19</v>
      </c>
      <c r="O348" s="17" t="s">
        <v>20</v>
      </c>
      <c r="P348" s="4"/>
    </row>
    <row r="349" spans="1:16" ht="78">
      <c r="A349" s="12" t="s">
        <v>754</v>
      </c>
      <c r="B349" s="13">
        <v>0.91500000000000004</v>
      </c>
      <c r="C349" s="13">
        <v>0.92500000000000004</v>
      </c>
      <c r="D349" s="14">
        <v>2089078</v>
      </c>
      <c r="E349" s="14">
        <v>1613423</v>
      </c>
      <c r="F349" s="15" t="s">
        <v>755</v>
      </c>
      <c r="G349" s="18"/>
      <c r="H349" s="18"/>
      <c r="I349" s="18"/>
      <c r="J349" s="12"/>
      <c r="K349" s="12"/>
      <c r="L349" s="12" t="b">
        <f>IF(COUNTIFS(Table83[[#This Row],[Base Table]:[Energy Table]],"y")&gt;0,"y")</f>
        <v>0</v>
      </c>
      <c r="M349" s="16" t="s">
        <v>80</v>
      </c>
      <c r="N349" s="17" t="s">
        <v>24</v>
      </c>
      <c r="O349" s="17" t="s">
        <v>20</v>
      </c>
      <c r="P349" s="4"/>
    </row>
    <row r="350" spans="1:16">
      <c r="A350" s="12" t="s">
        <v>756</v>
      </c>
      <c r="B350" s="13">
        <v>1</v>
      </c>
      <c r="C350" s="13">
        <v>1</v>
      </c>
      <c r="D350" s="14">
        <v>2283292</v>
      </c>
      <c r="E350" s="14">
        <v>1744350</v>
      </c>
      <c r="F350" s="15" t="s">
        <v>757</v>
      </c>
      <c r="G350" s="18" t="s">
        <v>17</v>
      </c>
      <c r="H350" s="18" t="s">
        <v>17</v>
      </c>
      <c r="I350" s="18"/>
      <c r="J350" s="12"/>
      <c r="K350" s="12"/>
      <c r="L350" s="12" t="str">
        <f>IF(COUNTIFS(Table83[[#This Row],[Base Table]:[Energy Table]],"y")&gt;0,"y")</f>
        <v>y</v>
      </c>
      <c r="M350" s="16" t="s">
        <v>35</v>
      </c>
      <c r="N350" s="17" t="s">
        <v>19</v>
      </c>
      <c r="O350" s="17" t="s">
        <v>20</v>
      </c>
      <c r="P350" s="4"/>
    </row>
    <row r="351" spans="1:16" ht="65.099999999999994">
      <c r="A351" s="12" t="s">
        <v>758</v>
      </c>
      <c r="B351" s="13">
        <v>1</v>
      </c>
      <c r="C351" s="13">
        <v>1</v>
      </c>
      <c r="D351" s="14">
        <v>2283288</v>
      </c>
      <c r="E351" s="14">
        <v>1744349</v>
      </c>
      <c r="F351" s="15" t="s">
        <v>759</v>
      </c>
      <c r="G351" s="18"/>
      <c r="H351" s="18"/>
      <c r="I351" s="18"/>
      <c r="J351" s="12"/>
      <c r="K351" s="12"/>
      <c r="L351" s="12" t="b">
        <f>IF(COUNTIFS(Table83[[#This Row],[Base Table]:[Energy Table]],"y")&gt;0,"y")</f>
        <v>0</v>
      </c>
      <c r="M351" s="16" t="s">
        <v>77</v>
      </c>
      <c r="N351" s="17" t="s">
        <v>19</v>
      </c>
      <c r="O351" s="17" t="s">
        <v>20</v>
      </c>
      <c r="P351" s="4"/>
    </row>
    <row r="352" spans="1:16" ht="51.95">
      <c r="A352" s="12" t="s">
        <v>760</v>
      </c>
      <c r="B352" s="13">
        <v>0.35899999999999999</v>
      </c>
      <c r="C352" s="13">
        <v>0.36199999999999999</v>
      </c>
      <c r="D352" s="14">
        <v>819962</v>
      </c>
      <c r="E352" s="14">
        <v>631015</v>
      </c>
      <c r="F352" s="15" t="s">
        <v>761</v>
      </c>
      <c r="G352" s="18"/>
      <c r="H352" s="18"/>
      <c r="I352" s="18"/>
      <c r="J352" s="12"/>
      <c r="K352" s="12"/>
      <c r="L352" s="12" t="b">
        <f>IF(COUNTIFS(Table83[[#This Row],[Base Table]:[Energy Table]],"y")&gt;0,"y")</f>
        <v>0</v>
      </c>
      <c r="M352" s="16" t="s">
        <v>80</v>
      </c>
      <c r="N352" s="17" t="s">
        <v>762</v>
      </c>
      <c r="O352" s="17" t="s">
        <v>20</v>
      </c>
      <c r="P352" s="4"/>
    </row>
    <row r="353" spans="1:16" ht="39">
      <c r="A353" s="12" t="s">
        <v>763</v>
      </c>
      <c r="B353" s="13">
        <v>0.187</v>
      </c>
      <c r="C353" s="13">
        <v>0.17199999999999999</v>
      </c>
      <c r="D353" s="14">
        <v>426700</v>
      </c>
      <c r="E353" s="14">
        <v>299673</v>
      </c>
      <c r="F353" s="15" t="s">
        <v>764</v>
      </c>
      <c r="G353" s="18"/>
      <c r="H353" s="18"/>
      <c r="I353" s="18"/>
      <c r="J353" s="12"/>
      <c r="K353" s="12"/>
      <c r="L353" s="12" t="b">
        <f>IF(COUNTIFS(Table83[[#This Row],[Base Table]:[Energy Table]],"y")&gt;0,"y")</f>
        <v>0</v>
      </c>
      <c r="M353" s="16" t="s">
        <v>59</v>
      </c>
      <c r="N353" s="17" t="s">
        <v>134</v>
      </c>
      <c r="O353" s="17" t="s">
        <v>20</v>
      </c>
      <c r="P353" s="4"/>
    </row>
    <row r="354" spans="1:16" ht="65.099999999999994">
      <c r="A354" s="12" t="s">
        <v>765</v>
      </c>
      <c r="B354" s="13">
        <v>0.187</v>
      </c>
      <c r="C354" s="13">
        <v>0.17199999999999999</v>
      </c>
      <c r="D354" s="14">
        <v>426700</v>
      </c>
      <c r="E354" s="14">
        <v>299673</v>
      </c>
      <c r="F354" s="15" t="s">
        <v>766</v>
      </c>
      <c r="G354" s="18"/>
      <c r="H354" s="18"/>
      <c r="I354" s="18"/>
      <c r="J354" s="12"/>
      <c r="K354" s="12"/>
      <c r="L354" s="12" t="b">
        <f>IF(COUNTIFS(Table83[[#This Row],[Base Table]:[Energy Table]],"y")&gt;0,"y")</f>
        <v>0</v>
      </c>
      <c r="M354" s="16" t="s">
        <v>59</v>
      </c>
      <c r="N354" s="17" t="s">
        <v>134</v>
      </c>
      <c r="O354" s="17" t="s">
        <v>20</v>
      </c>
      <c r="P354" s="4"/>
    </row>
    <row r="355" spans="1:16">
      <c r="A355" s="12" t="s">
        <v>767</v>
      </c>
      <c r="B355" s="13">
        <v>1</v>
      </c>
      <c r="C355" s="13">
        <v>1</v>
      </c>
      <c r="D355" s="14">
        <v>2283292</v>
      </c>
      <c r="E355" s="14">
        <v>1744350</v>
      </c>
      <c r="F355" s="15" t="s">
        <v>768</v>
      </c>
      <c r="G355" s="18" t="s">
        <v>17</v>
      </c>
      <c r="H355" s="18"/>
      <c r="I355" s="18" t="s">
        <v>17</v>
      </c>
      <c r="J355" s="12"/>
      <c r="K355" s="12"/>
      <c r="L355" s="12" t="str">
        <f>IF(COUNTIFS(Table83[[#This Row],[Base Table]:[Energy Table]],"y")&gt;0,"y")</f>
        <v>y</v>
      </c>
      <c r="M355" s="16" t="s">
        <v>35</v>
      </c>
      <c r="N355" s="17" t="s">
        <v>19</v>
      </c>
      <c r="O355" s="17" t="s">
        <v>20</v>
      </c>
      <c r="P355" s="4"/>
    </row>
    <row r="356" spans="1:16" ht="26.1">
      <c r="A356" s="12" t="s">
        <v>769</v>
      </c>
      <c r="B356" s="13">
        <v>0.48199999999999998</v>
      </c>
      <c r="C356" s="13">
        <v>0.45600000000000002</v>
      </c>
      <c r="D356" s="14">
        <v>1101280</v>
      </c>
      <c r="E356" s="14">
        <v>795045</v>
      </c>
      <c r="F356" s="15" t="s">
        <v>770</v>
      </c>
      <c r="G356" s="18"/>
      <c r="H356" s="18"/>
      <c r="I356" s="18"/>
      <c r="J356" s="12"/>
      <c r="K356" s="12"/>
      <c r="L356" s="12" t="b">
        <f>IF(COUNTIFS(Table83[[#This Row],[Base Table]:[Energy Table]],"y")&gt;0,"y")</f>
        <v>0</v>
      </c>
      <c r="M356" s="16" t="s">
        <v>80</v>
      </c>
      <c r="N356" s="17" t="s">
        <v>49</v>
      </c>
      <c r="O356" s="17" t="s">
        <v>20</v>
      </c>
      <c r="P356" s="4"/>
    </row>
    <row r="357" spans="1:16">
      <c r="A357" s="12" t="s">
        <v>771</v>
      </c>
      <c r="B357" s="13">
        <v>1</v>
      </c>
      <c r="C357" s="13">
        <v>1</v>
      </c>
      <c r="D357" s="14">
        <v>2283292</v>
      </c>
      <c r="E357" s="14">
        <v>1744350</v>
      </c>
      <c r="F357" s="15" t="s">
        <v>772</v>
      </c>
      <c r="G357" s="18"/>
      <c r="H357" s="18"/>
      <c r="I357" s="18"/>
      <c r="J357" s="12"/>
      <c r="K357" s="12"/>
      <c r="L357" s="12" t="b">
        <f>IF(COUNTIFS(Table83[[#This Row],[Base Table]:[Energy Table]],"y")&gt;0,"y")</f>
        <v>0</v>
      </c>
      <c r="M357" s="16" t="s">
        <v>35</v>
      </c>
      <c r="N357" s="17" t="s">
        <v>19</v>
      </c>
      <c r="O357" s="17" t="s">
        <v>20</v>
      </c>
      <c r="P357" s="4"/>
    </row>
    <row r="358" spans="1:16">
      <c r="A358" s="12" t="s">
        <v>773</v>
      </c>
      <c r="B358" s="13">
        <v>1</v>
      </c>
      <c r="C358" s="13">
        <v>1</v>
      </c>
      <c r="D358" s="14">
        <v>2283292</v>
      </c>
      <c r="E358" s="14">
        <v>1744350</v>
      </c>
      <c r="F358" s="15" t="s">
        <v>774</v>
      </c>
      <c r="G358" s="18"/>
      <c r="H358" s="18"/>
      <c r="I358" s="18"/>
      <c r="J358" s="12"/>
      <c r="K358" s="12"/>
      <c r="L358" s="12" t="b">
        <f>IF(COUNTIFS(Table83[[#This Row],[Base Table]:[Energy Table]],"y")&gt;0,"y")</f>
        <v>0</v>
      </c>
      <c r="M358" s="16" t="s">
        <v>35</v>
      </c>
      <c r="N358" s="17" t="s">
        <v>19</v>
      </c>
      <c r="O358" s="17" t="s">
        <v>20</v>
      </c>
      <c r="P358" s="4"/>
    </row>
    <row r="359" spans="1:16">
      <c r="A359" s="12" t="s">
        <v>775</v>
      </c>
      <c r="B359" s="13">
        <v>1</v>
      </c>
      <c r="C359" s="13">
        <v>1</v>
      </c>
      <c r="D359" s="14">
        <v>2283292</v>
      </c>
      <c r="E359" s="14">
        <v>1744350</v>
      </c>
      <c r="F359" s="15" t="s">
        <v>776</v>
      </c>
      <c r="G359" s="18" t="s">
        <v>17</v>
      </c>
      <c r="H359" s="18" t="s">
        <v>17</v>
      </c>
      <c r="I359" s="18"/>
      <c r="J359" s="12"/>
      <c r="K359" s="12"/>
      <c r="L359" s="12" t="str">
        <f>IF(COUNTIFS(Table83[[#This Row],[Base Table]:[Energy Table]],"y")&gt;0,"y")</f>
        <v>y</v>
      </c>
      <c r="M359" s="16" t="s">
        <v>35</v>
      </c>
      <c r="N359" s="17" t="s">
        <v>19</v>
      </c>
      <c r="O359" s="17" t="s">
        <v>20</v>
      </c>
      <c r="P359" s="4"/>
    </row>
    <row r="360" spans="1:16" ht="26.1">
      <c r="A360" s="12" t="s">
        <v>777</v>
      </c>
      <c r="B360" s="13">
        <v>1</v>
      </c>
      <c r="C360" s="13">
        <v>1</v>
      </c>
      <c r="D360" s="14">
        <v>2283292</v>
      </c>
      <c r="E360" s="14">
        <v>1744350</v>
      </c>
      <c r="F360" s="15" t="s">
        <v>778</v>
      </c>
      <c r="G360" s="18"/>
      <c r="H360" s="18"/>
      <c r="I360" s="18"/>
      <c r="J360" s="12"/>
      <c r="K360" s="12"/>
      <c r="L360" s="12" t="b">
        <f>IF(COUNTIFS(Table83[[#This Row],[Base Table]:[Energy Table]],"y")&gt;0,"y")</f>
        <v>0</v>
      </c>
      <c r="M360" s="16" t="s">
        <v>779</v>
      </c>
      <c r="N360" s="17" t="s">
        <v>19</v>
      </c>
      <c r="O360" s="17" t="s">
        <v>20</v>
      </c>
      <c r="P360" s="4"/>
    </row>
    <row r="361" spans="1:16">
      <c r="A361" s="12" t="s">
        <v>780</v>
      </c>
      <c r="B361" s="13">
        <v>1</v>
      </c>
      <c r="C361" s="13">
        <v>1</v>
      </c>
      <c r="D361" s="14">
        <v>2283292</v>
      </c>
      <c r="E361" s="14">
        <v>1744350</v>
      </c>
      <c r="F361" s="15" t="s">
        <v>781</v>
      </c>
      <c r="G361" s="18"/>
      <c r="H361" s="18"/>
      <c r="I361" s="18"/>
      <c r="J361" s="12"/>
      <c r="K361" s="12"/>
      <c r="L361" s="12" t="b">
        <f>IF(COUNTIFS(Table83[[#This Row],[Base Table]:[Energy Table]],"y")&gt;0,"y")</f>
        <v>0</v>
      </c>
      <c r="M361" s="16" t="s">
        <v>35</v>
      </c>
      <c r="N361" s="17" t="s">
        <v>19</v>
      </c>
      <c r="O361" s="17" t="s">
        <v>20</v>
      </c>
      <c r="P361" s="4"/>
    </row>
    <row r="362" spans="1:16" ht="26.1">
      <c r="A362" s="12" t="s">
        <v>782</v>
      </c>
      <c r="B362" s="13">
        <v>1E-3</v>
      </c>
      <c r="C362" s="13">
        <v>1E-3</v>
      </c>
      <c r="D362" s="14">
        <v>2230</v>
      </c>
      <c r="E362" s="14">
        <v>937</v>
      </c>
      <c r="F362" s="15" t="s">
        <v>783</v>
      </c>
      <c r="G362" s="18"/>
      <c r="H362" s="18"/>
      <c r="I362" s="18"/>
      <c r="J362" s="12"/>
      <c r="K362" s="12"/>
      <c r="L362" s="12" t="b">
        <f>IF(COUNTIFS(Table83[[#This Row],[Base Table]:[Energy Table]],"y")&gt;0,"y")</f>
        <v>0</v>
      </c>
      <c r="M362" s="16" t="s">
        <v>346</v>
      </c>
      <c r="N362" s="17" t="s">
        <v>347</v>
      </c>
      <c r="O362" s="17" t="s">
        <v>20</v>
      </c>
      <c r="P362" s="4"/>
    </row>
    <row r="363" spans="1:16">
      <c r="A363" s="12" t="s">
        <v>784</v>
      </c>
      <c r="B363" s="13">
        <v>0.55800000000000005</v>
      </c>
      <c r="C363" s="13">
        <v>0.54</v>
      </c>
      <c r="D363" s="14">
        <v>1274939</v>
      </c>
      <c r="E363" s="14">
        <v>941992</v>
      </c>
      <c r="F363" s="15" t="s">
        <v>785</v>
      </c>
      <c r="G363" s="18"/>
      <c r="H363" s="18"/>
      <c r="I363" s="18"/>
      <c r="J363" s="12"/>
      <c r="K363" s="12"/>
      <c r="L363" s="12" t="b">
        <f>IF(COUNTIFS(Table83[[#This Row],[Base Table]:[Energy Table]],"y")&gt;0,"y")</f>
        <v>0</v>
      </c>
      <c r="M363" s="16" t="s">
        <v>18</v>
      </c>
      <c r="N363" s="17" t="s">
        <v>49</v>
      </c>
      <c r="O363" s="17" t="s">
        <v>20</v>
      </c>
      <c r="P363" s="4"/>
    </row>
    <row r="364" spans="1:16">
      <c r="A364" s="12" t="s">
        <v>786</v>
      </c>
      <c r="B364" s="13">
        <v>1</v>
      </c>
      <c r="C364" s="13">
        <v>1</v>
      </c>
      <c r="D364" s="14">
        <v>2283292</v>
      </c>
      <c r="E364" s="14">
        <v>1744350</v>
      </c>
      <c r="F364" s="15" t="s">
        <v>787</v>
      </c>
      <c r="G364" s="18"/>
      <c r="H364" s="18"/>
      <c r="I364" s="18"/>
      <c r="J364" s="12"/>
      <c r="K364" s="12"/>
      <c r="L364" s="12" t="b">
        <f>IF(COUNTIFS(Table83[[#This Row],[Base Table]:[Energy Table]],"y")&gt;0,"y")</f>
        <v>0</v>
      </c>
      <c r="M364" s="16" t="s">
        <v>199</v>
      </c>
      <c r="N364" s="17" t="s">
        <v>19</v>
      </c>
      <c r="O364" s="17" t="s">
        <v>20</v>
      </c>
      <c r="P364" s="4"/>
    </row>
    <row r="365" spans="1:16">
      <c r="A365" s="12" t="s">
        <v>788</v>
      </c>
      <c r="B365" s="13" t="e">
        <v>#N/A</v>
      </c>
      <c r="C365" s="13" t="e">
        <v>#N/A</v>
      </c>
      <c r="D365" s="14" t="e">
        <v>#N/A</v>
      </c>
      <c r="E365" s="14" t="e">
        <v>#N/A</v>
      </c>
      <c r="F365" s="15" t="s">
        <v>789</v>
      </c>
      <c r="G365" s="18"/>
      <c r="H365" s="18"/>
      <c r="I365" s="18"/>
      <c r="J365" s="12"/>
      <c r="K365" s="12"/>
      <c r="L365" s="12" t="b">
        <f>IF(COUNTIFS(Table83[[#This Row],[Base Table]:[Energy Table]],"y")&gt;0,"y")</f>
        <v>0</v>
      </c>
      <c r="M365" s="16" t="s">
        <v>35</v>
      </c>
      <c r="N365" s="17" t="s">
        <v>19</v>
      </c>
      <c r="O365" s="17" t="s">
        <v>20</v>
      </c>
      <c r="P365" s="4"/>
    </row>
    <row r="366" spans="1:16">
      <c r="A366" s="12" t="s">
        <v>790</v>
      </c>
      <c r="B366" s="13">
        <v>1</v>
      </c>
      <c r="C366" s="13">
        <v>1</v>
      </c>
      <c r="D366" s="14">
        <v>2283292</v>
      </c>
      <c r="E366" s="14">
        <v>1744350</v>
      </c>
      <c r="F366" s="15" t="s">
        <v>791</v>
      </c>
      <c r="G366" s="18"/>
      <c r="H366" s="18"/>
      <c r="I366" s="18"/>
      <c r="J366" s="12"/>
      <c r="K366" s="12"/>
      <c r="L366" s="12" t="b">
        <f>IF(COUNTIFS(Table83[[#This Row],[Base Table]:[Energy Table]],"y")&gt;0,"y")</f>
        <v>0</v>
      </c>
      <c r="M366" s="16" t="s">
        <v>35</v>
      </c>
      <c r="N366" s="17" t="s">
        <v>19</v>
      </c>
      <c r="O366" s="17" t="s">
        <v>20</v>
      </c>
      <c r="P366" s="4"/>
    </row>
    <row r="367" spans="1:16">
      <c r="A367" s="12" t="s">
        <v>792</v>
      </c>
      <c r="B367" s="13">
        <v>0</v>
      </c>
      <c r="C367" s="13">
        <v>1E-3</v>
      </c>
      <c r="D367" s="14">
        <v>136</v>
      </c>
      <c r="E367" s="14">
        <v>1929</v>
      </c>
      <c r="F367" s="15" t="s">
        <v>793</v>
      </c>
      <c r="G367" s="18"/>
      <c r="H367" s="18"/>
      <c r="I367" s="18"/>
      <c r="J367" s="12"/>
      <c r="K367" s="12"/>
      <c r="L367" s="12" t="b">
        <f>IF(COUNTIFS(Table83[[#This Row],[Base Table]:[Energy Table]],"y")&gt;0,"y")</f>
        <v>0</v>
      </c>
      <c r="M367" s="16" t="s">
        <v>466</v>
      </c>
      <c r="N367" s="17" t="s">
        <v>212</v>
      </c>
      <c r="O367" s="17" t="s">
        <v>20</v>
      </c>
      <c r="P367" s="4"/>
    </row>
    <row r="368" spans="1:16">
      <c r="A368" s="12" t="s">
        <v>794</v>
      </c>
      <c r="B368" s="13">
        <v>1.6E-2</v>
      </c>
      <c r="C368" s="13">
        <v>3.0000000000000001E-3</v>
      </c>
      <c r="D368" s="14">
        <v>37270</v>
      </c>
      <c r="E368" s="14">
        <v>6054</v>
      </c>
      <c r="F368" s="15" t="s">
        <v>795</v>
      </c>
      <c r="G368" s="18"/>
      <c r="H368" s="18"/>
      <c r="I368" s="18"/>
      <c r="J368" s="12"/>
      <c r="K368" s="12"/>
      <c r="L368" s="12" t="b">
        <f>IF(COUNTIFS(Table83[[#This Row],[Base Table]:[Energy Table]],"y")&gt;0,"y")</f>
        <v>0</v>
      </c>
      <c r="M368" s="16" t="s">
        <v>466</v>
      </c>
      <c r="N368" s="17" t="s">
        <v>212</v>
      </c>
      <c r="O368" s="17" t="s">
        <v>32</v>
      </c>
      <c r="P368" s="4"/>
    </row>
    <row r="369" spans="1:16">
      <c r="A369" s="12" t="s">
        <v>796</v>
      </c>
      <c r="B369" s="13">
        <v>4.0000000000000001E-3</v>
      </c>
      <c r="C369" s="13">
        <v>5.0000000000000001E-3</v>
      </c>
      <c r="D369" s="14">
        <v>8024</v>
      </c>
      <c r="E369" s="14">
        <v>9044</v>
      </c>
      <c r="F369" s="15" t="s">
        <v>797</v>
      </c>
      <c r="G369" s="18"/>
      <c r="H369" s="18"/>
      <c r="I369" s="18"/>
      <c r="J369" s="12"/>
      <c r="K369" s="12"/>
      <c r="L369" s="12" t="b">
        <f>IF(COUNTIFS(Table83[[#This Row],[Base Table]:[Energy Table]],"y")&gt;0,"y")</f>
        <v>0</v>
      </c>
      <c r="M369" s="16" t="s">
        <v>466</v>
      </c>
      <c r="N369" s="17" t="s">
        <v>212</v>
      </c>
      <c r="O369" s="17" t="s">
        <v>20</v>
      </c>
      <c r="P369" s="4"/>
    </row>
    <row r="370" spans="1:16">
      <c r="A370" s="12" t="s">
        <v>798</v>
      </c>
      <c r="B370" s="13">
        <v>1</v>
      </c>
      <c r="C370" s="13">
        <v>1</v>
      </c>
      <c r="D370" s="14">
        <v>2283292</v>
      </c>
      <c r="E370" s="14">
        <v>1744350</v>
      </c>
      <c r="F370" s="15" t="s">
        <v>799</v>
      </c>
      <c r="G370" s="18"/>
      <c r="H370" s="18"/>
      <c r="I370" s="18"/>
      <c r="J370" s="12"/>
      <c r="K370" s="12"/>
      <c r="L370" s="12" t="b">
        <f>IF(COUNTIFS(Table83[[#This Row],[Base Table]:[Energy Table]],"y")&gt;0,"y")</f>
        <v>0</v>
      </c>
      <c r="M370" s="16" t="s">
        <v>18</v>
      </c>
      <c r="N370" s="17" t="s">
        <v>24</v>
      </c>
      <c r="O370" s="17" t="s">
        <v>20</v>
      </c>
      <c r="P370" s="4"/>
    </row>
    <row r="371" spans="1:16">
      <c r="A371" s="12" t="s">
        <v>800</v>
      </c>
      <c r="B371" s="13">
        <v>1</v>
      </c>
      <c r="C371" s="13">
        <v>1</v>
      </c>
      <c r="D371" s="14">
        <v>2283292</v>
      </c>
      <c r="E371" s="14">
        <v>1744350</v>
      </c>
      <c r="F371" s="15" t="s">
        <v>801</v>
      </c>
      <c r="G371" s="18"/>
      <c r="H371" s="18"/>
      <c r="I371" s="18"/>
      <c r="J371" s="12"/>
      <c r="K371" s="12"/>
      <c r="L371" s="12" t="b">
        <f>IF(COUNTIFS(Table83[[#This Row],[Base Table]:[Energy Table]],"y")&gt;0,"y")</f>
        <v>0</v>
      </c>
      <c r="M371" s="16" t="s">
        <v>18</v>
      </c>
      <c r="N371" s="17" t="s">
        <v>24</v>
      </c>
      <c r="O371" s="17" t="s">
        <v>20</v>
      </c>
      <c r="P371" s="4"/>
    </row>
    <row r="372" spans="1:16">
      <c r="A372" s="12" t="s">
        <v>802</v>
      </c>
      <c r="B372" s="13">
        <v>1E-3</v>
      </c>
      <c r="C372" s="13">
        <v>4.0000000000000001E-3</v>
      </c>
      <c r="D372" s="14">
        <v>2121</v>
      </c>
      <c r="E372" s="14">
        <v>7515</v>
      </c>
      <c r="F372" s="15" t="s">
        <v>803</v>
      </c>
      <c r="G372" s="18"/>
      <c r="H372" s="18"/>
      <c r="I372" s="18"/>
      <c r="J372" s="12"/>
      <c r="K372" s="12"/>
      <c r="L372" s="12" t="b">
        <f>IF(COUNTIFS(Table83[[#This Row],[Base Table]:[Energy Table]],"y")&gt;0,"y")</f>
        <v>0</v>
      </c>
      <c r="M372" s="16" t="s">
        <v>40</v>
      </c>
      <c r="N372" s="17" t="s">
        <v>19</v>
      </c>
      <c r="O372" s="17" t="s">
        <v>20</v>
      </c>
      <c r="P372" s="4"/>
    </row>
    <row r="373" spans="1:16">
      <c r="A373" s="12" t="s">
        <v>804</v>
      </c>
      <c r="B373" s="13">
        <v>1</v>
      </c>
      <c r="C373" s="13">
        <v>1</v>
      </c>
      <c r="D373" s="14">
        <v>2283292</v>
      </c>
      <c r="E373" s="14">
        <v>1744350</v>
      </c>
      <c r="F373" s="15" t="s">
        <v>805</v>
      </c>
      <c r="G373" s="18"/>
      <c r="H373" s="18"/>
      <c r="I373" s="18"/>
      <c r="J373" s="12"/>
      <c r="K373" s="12"/>
      <c r="L373" s="12" t="b">
        <f>IF(COUNTIFS(Table83[[#This Row],[Base Table]:[Energy Table]],"y")&gt;0,"y")</f>
        <v>0</v>
      </c>
      <c r="M373" s="16" t="s">
        <v>220</v>
      </c>
      <c r="N373" s="17" t="s">
        <v>19</v>
      </c>
      <c r="O373" s="17" t="s">
        <v>20</v>
      </c>
      <c r="P373" s="4"/>
    </row>
    <row r="374" spans="1:16" ht="26.1">
      <c r="A374" s="12" t="s">
        <v>806</v>
      </c>
      <c r="B374" s="13">
        <v>0.378</v>
      </c>
      <c r="C374" s="13">
        <v>0.35099999999999998</v>
      </c>
      <c r="D374" s="14">
        <v>863589</v>
      </c>
      <c r="E374" s="14">
        <v>611706</v>
      </c>
      <c r="F374" s="15" t="s">
        <v>807</v>
      </c>
      <c r="G374" s="18"/>
      <c r="H374" s="18"/>
      <c r="I374" s="18"/>
      <c r="J374" s="12"/>
      <c r="K374" s="12"/>
      <c r="L374" s="12" t="b">
        <f>IF(COUNTIFS(Table83[[#This Row],[Base Table]:[Energy Table]],"y")&gt;0,"y")</f>
        <v>0</v>
      </c>
      <c r="M374" s="16" t="s">
        <v>18</v>
      </c>
      <c r="N374" s="17" t="s">
        <v>53</v>
      </c>
      <c r="O374" s="17" t="s">
        <v>32</v>
      </c>
      <c r="P374" s="4"/>
    </row>
    <row r="375" spans="1:16">
      <c r="A375" s="12" t="s">
        <v>808</v>
      </c>
      <c r="B375" s="13">
        <v>0.378</v>
      </c>
      <c r="C375" s="13">
        <v>0.35099999999999998</v>
      </c>
      <c r="D375" s="14">
        <v>863589</v>
      </c>
      <c r="E375" s="14">
        <v>611706</v>
      </c>
      <c r="F375" s="15" t="s">
        <v>809</v>
      </c>
      <c r="G375" s="18" t="s">
        <v>17</v>
      </c>
      <c r="H375" s="18" t="s">
        <v>17</v>
      </c>
      <c r="I375" s="18"/>
      <c r="J375" s="12"/>
      <c r="K375" s="12"/>
      <c r="L375" s="12" t="str">
        <f>IF(COUNTIFS(Table83[[#This Row],[Base Table]:[Energy Table]],"y")&gt;0,"y")</f>
        <v>y</v>
      </c>
      <c r="M375" s="16" t="s">
        <v>18</v>
      </c>
      <c r="N375" s="17" t="s">
        <v>53</v>
      </c>
      <c r="O375" s="17" t="s">
        <v>20</v>
      </c>
      <c r="P375" s="4"/>
    </row>
    <row r="376" spans="1:16" ht="26.1">
      <c r="A376" s="12" t="s">
        <v>810</v>
      </c>
      <c r="B376" s="13">
        <v>0.49199999999999999</v>
      </c>
      <c r="C376" s="13">
        <v>0.46899999999999997</v>
      </c>
      <c r="D376" s="14">
        <v>1122319</v>
      </c>
      <c r="E376" s="14">
        <v>818326</v>
      </c>
      <c r="F376" s="15" t="s">
        <v>811</v>
      </c>
      <c r="G376" s="18"/>
      <c r="H376" s="18"/>
      <c r="I376" s="18"/>
      <c r="J376" s="12"/>
      <c r="K376" s="12"/>
      <c r="L376" s="12" t="b">
        <f>IF(COUNTIFS(Table83[[#This Row],[Base Table]:[Energy Table]],"y")&gt;0,"y")</f>
        <v>0</v>
      </c>
      <c r="M376" s="16" t="s">
        <v>18</v>
      </c>
      <c r="N376" s="17" t="s">
        <v>92</v>
      </c>
      <c r="O376" s="17" t="s">
        <v>20</v>
      </c>
      <c r="P376" s="4"/>
    </row>
    <row r="377" spans="1:16" ht="26.1">
      <c r="A377" s="12" t="s">
        <v>812</v>
      </c>
      <c r="B377" s="13">
        <v>0.42499999999999999</v>
      </c>
      <c r="C377" s="13">
        <v>0.40400000000000003</v>
      </c>
      <c r="D377" s="14">
        <v>971456</v>
      </c>
      <c r="E377" s="14">
        <v>704116</v>
      </c>
      <c r="F377" s="15" t="s">
        <v>813</v>
      </c>
      <c r="G377" s="18"/>
      <c r="H377" s="18"/>
      <c r="I377" s="18"/>
      <c r="J377" s="12"/>
      <c r="K377" s="12"/>
      <c r="L377" s="12" t="b">
        <f>IF(COUNTIFS(Table83[[#This Row],[Base Table]:[Energy Table]],"y")&gt;0,"y")</f>
        <v>0</v>
      </c>
      <c r="M377" s="16" t="s">
        <v>80</v>
      </c>
      <c r="N377" s="17" t="s">
        <v>92</v>
      </c>
      <c r="O377" s="17" t="s">
        <v>20</v>
      </c>
      <c r="P377" s="4"/>
    </row>
    <row r="378" spans="1:16">
      <c r="A378" s="12" t="s">
        <v>814</v>
      </c>
      <c r="B378" s="13">
        <v>0.49199999999999999</v>
      </c>
      <c r="C378" s="13">
        <v>0.46899999999999997</v>
      </c>
      <c r="D378" s="14">
        <v>1122319</v>
      </c>
      <c r="E378" s="14">
        <v>818326</v>
      </c>
      <c r="F378" s="15" t="s">
        <v>815</v>
      </c>
      <c r="G378" s="18"/>
      <c r="H378" s="18"/>
      <c r="I378" s="18"/>
      <c r="J378" s="12"/>
      <c r="K378" s="12"/>
      <c r="L378" s="12" t="b">
        <f>IF(COUNTIFS(Table83[[#This Row],[Base Table]:[Energy Table]],"y")&gt;0,"y")</f>
        <v>0</v>
      </c>
      <c r="M378" s="16" t="s">
        <v>35</v>
      </c>
      <c r="N378" s="17" t="s">
        <v>92</v>
      </c>
      <c r="O378" s="17" t="s">
        <v>20</v>
      </c>
      <c r="P378" s="4"/>
    </row>
    <row r="379" spans="1:16">
      <c r="A379" s="12" t="s">
        <v>816</v>
      </c>
      <c r="B379" s="13">
        <v>0.378</v>
      </c>
      <c r="C379" s="13">
        <v>0.35099999999999998</v>
      </c>
      <c r="D379" s="14">
        <v>863589</v>
      </c>
      <c r="E379" s="14">
        <v>611705</v>
      </c>
      <c r="F379" s="15" t="s">
        <v>817</v>
      </c>
      <c r="G379" s="18"/>
      <c r="H379" s="18"/>
      <c r="I379" s="18"/>
      <c r="J379" s="12"/>
      <c r="K379" s="12"/>
      <c r="L379" s="12" t="b">
        <f>IF(COUNTIFS(Table83[[#This Row],[Base Table]:[Energy Table]],"y")&gt;0,"y")</f>
        <v>0</v>
      </c>
      <c r="M379" s="16" t="s">
        <v>59</v>
      </c>
      <c r="N379" s="17" t="s">
        <v>53</v>
      </c>
      <c r="O379" s="17" t="s">
        <v>20</v>
      </c>
      <c r="P379" s="4"/>
    </row>
    <row r="380" spans="1:16">
      <c r="A380" s="12" t="s">
        <v>818</v>
      </c>
      <c r="B380" s="13">
        <v>0.378</v>
      </c>
      <c r="C380" s="13">
        <v>0.35099999999999998</v>
      </c>
      <c r="D380" s="14">
        <v>863589</v>
      </c>
      <c r="E380" s="14">
        <v>611705</v>
      </c>
      <c r="F380" s="15" t="s">
        <v>819</v>
      </c>
      <c r="G380" s="18"/>
      <c r="H380" s="18"/>
      <c r="I380" s="18"/>
      <c r="J380" s="12"/>
      <c r="K380" s="12"/>
      <c r="L380" s="12" t="b">
        <f>IF(COUNTIFS(Table83[[#This Row],[Base Table]:[Energy Table]],"y")&gt;0,"y")</f>
        <v>0</v>
      </c>
      <c r="M380" s="16" t="s">
        <v>59</v>
      </c>
      <c r="N380" s="17" t="s">
        <v>53</v>
      </c>
      <c r="O380" s="17" t="s">
        <v>20</v>
      </c>
      <c r="P380" s="4"/>
    </row>
    <row r="381" spans="1:16">
      <c r="A381" s="12" t="s">
        <v>820</v>
      </c>
      <c r="B381" s="13">
        <v>1</v>
      </c>
      <c r="C381" s="13">
        <v>1</v>
      </c>
      <c r="D381" s="14">
        <v>2283292</v>
      </c>
      <c r="E381" s="14">
        <v>1744350</v>
      </c>
      <c r="F381" s="15" t="s">
        <v>821</v>
      </c>
      <c r="G381" s="18" t="s">
        <v>17</v>
      </c>
      <c r="H381" s="18" t="s">
        <v>17</v>
      </c>
      <c r="I381" s="18"/>
      <c r="J381" s="12"/>
      <c r="K381" s="12"/>
      <c r="L381" s="12" t="str">
        <f>IF(COUNTIFS(Table83[[#This Row],[Base Table]:[Energy Table]],"y")&gt;0,"y")</f>
        <v>y</v>
      </c>
      <c r="M381" s="16" t="s">
        <v>35</v>
      </c>
      <c r="N381" s="17" t="s">
        <v>19</v>
      </c>
      <c r="O381" s="17" t="s">
        <v>20</v>
      </c>
      <c r="P381" s="4"/>
    </row>
    <row r="382" spans="1:16" ht="26.1">
      <c r="A382" s="12" t="s">
        <v>822</v>
      </c>
      <c r="B382" s="13">
        <v>0.998</v>
      </c>
      <c r="C382" s="13">
        <v>1</v>
      </c>
      <c r="D382" s="14">
        <v>2278296</v>
      </c>
      <c r="E382" s="14">
        <v>1744338</v>
      </c>
      <c r="F382" s="15" t="s">
        <v>823</v>
      </c>
      <c r="G382" s="18"/>
      <c r="H382" s="18"/>
      <c r="I382" s="18"/>
      <c r="J382" s="12"/>
      <c r="K382" s="12"/>
      <c r="L382" s="12" t="b">
        <f>IF(COUNTIFS(Table83[[#This Row],[Base Table]:[Energy Table]],"y")&gt;0,"y")</f>
        <v>0</v>
      </c>
      <c r="M382" s="16" t="s">
        <v>481</v>
      </c>
      <c r="N382" s="17" t="s">
        <v>24</v>
      </c>
      <c r="O382" s="17" t="s">
        <v>20</v>
      </c>
      <c r="P382" s="4"/>
    </row>
    <row r="383" spans="1:16" ht="26.1">
      <c r="A383" s="12" t="s">
        <v>824</v>
      </c>
      <c r="B383" s="13">
        <v>0.96599999999999997</v>
      </c>
      <c r="C383" s="13">
        <v>0.97</v>
      </c>
      <c r="D383" s="14">
        <v>2204884</v>
      </c>
      <c r="E383" s="14">
        <v>1691883</v>
      </c>
      <c r="F383" s="15" t="s">
        <v>825</v>
      </c>
      <c r="G383" s="18"/>
      <c r="H383" s="18"/>
      <c r="I383" s="18"/>
      <c r="J383" s="12"/>
      <c r="K383" s="12"/>
      <c r="L383" s="12" t="b">
        <f>IF(COUNTIFS(Table83[[#This Row],[Base Table]:[Energy Table]],"y")&gt;0,"y")</f>
        <v>0</v>
      </c>
      <c r="M383" s="16" t="s">
        <v>80</v>
      </c>
      <c r="N383" s="17" t="s">
        <v>24</v>
      </c>
      <c r="O383" s="17" t="s">
        <v>32</v>
      </c>
      <c r="P383" s="4"/>
    </row>
    <row r="384" spans="1:16" ht="26.1">
      <c r="A384" s="12" t="s">
        <v>826</v>
      </c>
      <c r="B384" s="13">
        <v>0.42499999999999999</v>
      </c>
      <c r="C384" s="13">
        <v>0.40400000000000003</v>
      </c>
      <c r="D384" s="14">
        <v>970697</v>
      </c>
      <c r="E384" s="14">
        <v>704097</v>
      </c>
      <c r="F384" s="15" t="s">
        <v>827</v>
      </c>
      <c r="G384" s="18"/>
      <c r="H384" s="18"/>
      <c r="I384" s="18"/>
      <c r="J384" s="12"/>
      <c r="K384" s="12"/>
      <c r="L384" s="12" t="b">
        <f>IF(COUNTIFS(Table83[[#This Row],[Base Table]:[Energy Table]],"y")&gt;0,"y")</f>
        <v>0</v>
      </c>
      <c r="M384" s="16" t="s">
        <v>80</v>
      </c>
      <c r="N384" s="17" t="s">
        <v>92</v>
      </c>
      <c r="O384" s="17" t="s">
        <v>32</v>
      </c>
      <c r="P384" s="4"/>
    </row>
    <row r="385" spans="1:16" ht="26.1">
      <c r="A385" s="12" t="s">
        <v>828</v>
      </c>
      <c r="B385" s="13">
        <v>0.35899999999999999</v>
      </c>
      <c r="C385" s="13">
        <v>0.36199999999999999</v>
      </c>
      <c r="D385" s="14">
        <v>819963</v>
      </c>
      <c r="E385" s="14">
        <v>631015</v>
      </c>
      <c r="F385" s="15" t="s">
        <v>829</v>
      </c>
      <c r="G385" s="18"/>
      <c r="H385" s="18"/>
      <c r="I385" s="18"/>
      <c r="J385" s="12"/>
      <c r="K385" s="12"/>
      <c r="L385" s="12" t="b">
        <f>IF(COUNTIFS(Table83[[#This Row],[Base Table]:[Energy Table]],"y")&gt;0,"y")</f>
        <v>0</v>
      </c>
      <c r="M385" s="16" t="s">
        <v>80</v>
      </c>
      <c r="N385" s="17" t="s">
        <v>762</v>
      </c>
      <c r="O385" s="17" t="s">
        <v>32</v>
      </c>
      <c r="P385" s="4"/>
    </row>
    <row r="386" spans="1:16" ht="26.1">
      <c r="A386" s="12" t="s">
        <v>830</v>
      </c>
      <c r="B386" s="13">
        <v>0.14499999999999999</v>
      </c>
      <c r="C386" s="13">
        <v>0.14599999999999999</v>
      </c>
      <c r="D386" s="14">
        <v>329997</v>
      </c>
      <c r="E386" s="14">
        <v>254305</v>
      </c>
      <c r="F386" s="15" t="s">
        <v>831</v>
      </c>
      <c r="G386" s="18"/>
      <c r="H386" s="18"/>
      <c r="I386" s="18"/>
      <c r="J386" s="12"/>
      <c r="K386" s="12"/>
      <c r="L386" s="12" t="b">
        <f>IF(COUNTIFS(Table83[[#This Row],[Base Table]:[Energy Table]],"y")&gt;0,"y")</f>
        <v>0</v>
      </c>
      <c r="M386" s="16" t="s">
        <v>40</v>
      </c>
      <c r="N386" s="17" t="s">
        <v>604</v>
      </c>
      <c r="O386" s="17" t="s">
        <v>32</v>
      </c>
      <c r="P386" s="4"/>
    </row>
    <row r="387" spans="1:16" ht="26.1">
      <c r="A387" s="12" t="s">
        <v>832</v>
      </c>
      <c r="B387" s="13">
        <v>0.26200000000000001</v>
      </c>
      <c r="C387" s="13">
        <v>0.23699999999999999</v>
      </c>
      <c r="D387" s="14">
        <v>598992</v>
      </c>
      <c r="E387" s="14">
        <v>412948</v>
      </c>
      <c r="F387" s="15" t="s">
        <v>833</v>
      </c>
      <c r="G387" s="18"/>
      <c r="H387" s="18"/>
      <c r="I387" s="18"/>
      <c r="J387" s="12"/>
      <c r="K387" s="12"/>
      <c r="L387" s="12" t="b">
        <f>IF(COUNTIFS(Table83[[#This Row],[Base Table]:[Energy Table]],"y")&gt;0,"y")</f>
        <v>0</v>
      </c>
      <c r="M387" s="16" t="s">
        <v>80</v>
      </c>
      <c r="N387" s="17" t="s">
        <v>24</v>
      </c>
      <c r="O387" s="17" t="s">
        <v>32</v>
      </c>
      <c r="P387" s="4"/>
    </row>
    <row r="388" spans="1:16" ht="26.1">
      <c r="A388" s="12" t="s">
        <v>834</v>
      </c>
      <c r="B388" s="13">
        <v>0.95</v>
      </c>
      <c r="C388" s="13">
        <v>0.95899999999999996</v>
      </c>
      <c r="D388" s="14">
        <v>2168065</v>
      </c>
      <c r="E388" s="14">
        <v>1673136</v>
      </c>
      <c r="F388" s="15" t="s">
        <v>835</v>
      </c>
      <c r="G388" s="18"/>
      <c r="H388" s="18"/>
      <c r="I388" s="18"/>
      <c r="J388" s="12"/>
      <c r="K388" s="12"/>
      <c r="L388" s="12" t="b">
        <f>IF(COUNTIFS(Table83[[#This Row],[Base Table]:[Energy Table]],"y")&gt;0,"y")</f>
        <v>0</v>
      </c>
      <c r="M388" s="16" t="s">
        <v>80</v>
      </c>
      <c r="N388" s="17" t="s">
        <v>24</v>
      </c>
      <c r="O388" s="17" t="s">
        <v>32</v>
      </c>
      <c r="P388" s="4"/>
    </row>
    <row r="389" spans="1:16" ht="26.1">
      <c r="A389" s="12" t="s">
        <v>836</v>
      </c>
      <c r="B389" s="13">
        <v>0.96599999999999997</v>
      </c>
      <c r="C389" s="13">
        <v>0.97</v>
      </c>
      <c r="D389" s="14">
        <v>2204884</v>
      </c>
      <c r="E389" s="14">
        <v>1691883</v>
      </c>
      <c r="F389" s="15" t="s">
        <v>837</v>
      </c>
      <c r="G389" s="18"/>
      <c r="H389" s="18"/>
      <c r="I389" s="18"/>
      <c r="J389" s="12"/>
      <c r="K389" s="12"/>
      <c r="L389" s="12" t="b">
        <f>IF(COUNTIFS(Table83[[#This Row],[Base Table]:[Energy Table]],"y")&gt;0,"y")</f>
        <v>0</v>
      </c>
      <c r="M389" s="16" t="s">
        <v>80</v>
      </c>
      <c r="N389" s="17" t="s">
        <v>24</v>
      </c>
      <c r="O389" s="17" t="s">
        <v>20</v>
      </c>
      <c r="P389" s="4"/>
    </row>
    <row r="390" spans="1:16" ht="26.1">
      <c r="A390" s="12" t="s">
        <v>838</v>
      </c>
      <c r="B390" s="13">
        <v>0.16500000000000001</v>
      </c>
      <c r="C390" s="13">
        <v>0.16200000000000001</v>
      </c>
      <c r="D390" s="14">
        <v>377604</v>
      </c>
      <c r="E390" s="14">
        <v>283364</v>
      </c>
      <c r="F390" s="15" t="s">
        <v>839</v>
      </c>
      <c r="G390" s="18"/>
      <c r="H390" s="18"/>
      <c r="I390" s="18"/>
      <c r="J390" s="12"/>
      <c r="K390" s="12"/>
      <c r="L390" s="12" t="b">
        <f>IF(COUNTIFS(Table83[[#This Row],[Base Table]:[Energy Table]],"y")&gt;0,"y")</f>
        <v>0</v>
      </c>
      <c r="M390" s="16" t="s">
        <v>40</v>
      </c>
      <c r="N390" s="17" t="s">
        <v>604</v>
      </c>
      <c r="O390" s="17" t="s">
        <v>20</v>
      </c>
      <c r="P390" s="4"/>
    </row>
    <row r="391" spans="1:16" ht="26.1">
      <c r="A391" s="12" t="s">
        <v>840</v>
      </c>
      <c r="B391" s="13">
        <v>0.26200000000000001</v>
      </c>
      <c r="C391" s="13">
        <v>0.23699999999999999</v>
      </c>
      <c r="D391" s="14">
        <v>598996</v>
      </c>
      <c r="E391" s="14">
        <v>412950</v>
      </c>
      <c r="F391" s="15" t="s">
        <v>841</v>
      </c>
      <c r="G391" s="18"/>
      <c r="H391" s="18"/>
      <c r="I391" s="18"/>
      <c r="J391" s="12"/>
      <c r="K391" s="12"/>
      <c r="L391" s="12" t="b">
        <f>IF(COUNTIFS(Table83[[#This Row],[Base Table]:[Energy Table]],"y")&gt;0,"y")</f>
        <v>0</v>
      </c>
      <c r="M391" s="16" t="s">
        <v>80</v>
      </c>
      <c r="N391" s="17" t="s">
        <v>24</v>
      </c>
      <c r="O391" s="17" t="s">
        <v>20</v>
      </c>
      <c r="P391" s="4"/>
    </row>
    <row r="392" spans="1:16" ht="26.1">
      <c r="A392" s="12" t="s">
        <v>842</v>
      </c>
      <c r="B392" s="13">
        <v>0.95</v>
      </c>
      <c r="C392" s="13">
        <v>0.95899999999999996</v>
      </c>
      <c r="D392" s="14">
        <v>2168051</v>
      </c>
      <c r="E392" s="14">
        <v>1673129</v>
      </c>
      <c r="F392" s="15" t="s">
        <v>843</v>
      </c>
      <c r="G392" s="18"/>
      <c r="H392" s="18"/>
      <c r="I392" s="18"/>
      <c r="J392" s="12"/>
      <c r="K392" s="12"/>
      <c r="L392" s="12" t="b">
        <f>IF(COUNTIFS(Table83[[#This Row],[Base Table]:[Energy Table]],"y")&gt;0,"y")</f>
        <v>0</v>
      </c>
      <c r="M392" s="16" t="s">
        <v>80</v>
      </c>
      <c r="N392" s="17" t="s">
        <v>24</v>
      </c>
      <c r="O392" s="17" t="s">
        <v>20</v>
      </c>
      <c r="P392" s="4"/>
    </row>
    <row r="393" spans="1:16">
      <c r="A393" s="12" t="s">
        <v>844</v>
      </c>
      <c r="B393" s="13">
        <v>0.77300000000000002</v>
      </c>
      <c r="C393" s="13">
        <v>0.83399999999999996</v>
      </c>
      <c r="D393" s="14">
        <v>1766087</v>
      </c>
      <c r="E393" s="14">
        <v>1453990</v>
      </c>
      <c r="F393" s="15" t="s">
        <v>845</v>
      </c>
      <c r="G393" s="18"/>
      <c r="H393" s="18"/>
      <c r="I393" s="18"/>
      <c r="J393" s="12"/>
      <c r="K393" s="12"/>
      <c r="L393" s="12" t="b">
        <f>IF(COUNTIFS(Table83[[#This Row],[Base Table]:[Energy Table]],"y")&gt;0,"y")</f>
        <v>0</v>
      </c>
      <c r="M393" s="16" t="s">
        <v>18</v>
      </c>
      <c r="N393" s="17" t="s">
        <v>27</v>
      </c>
      <c r="O393" s="17" t="s">
        <v>20</v>
      </c>
      <c r="P393" s="4"/>
    </row>
    <row r="394" spans="1:16">
      <c r="A394" s="12" t="s">
        <v>846</v>
      </c>
      <c r="B394" s="13">
        <v>1</v>
      </c>
      <c r="C394" s="13">
        <v>1</v>
      </c>
      <c r="D394" s="14">
        <v>2283292</v>
      </c>
      <c r="E394" s="14">
        <v>1744350</v>
      </c>
      <c r="F394" s="15" t="s">
        <v>847</v>
      </c>
      <c r="G394" s="18"/>
      <c r="H394" s="18"/>
      <c r="I394" s="18"/>
      <c r="J394" s="12"/>
      <c r="K394" s="12"/>
      <c r="L394" s="12" t="b">
        <f>IF(COUNTIFS(Table83[[#This Row],[Base Table]:[Energy Table]],"y")&gt;0,"y")</f>
        <v>0</v>
      </c>
      <c r="M394" s="16" t="s">
        <v>35</v>
      </c>
      <c r="N394" s="17" t="s">
        <v>19</v>
      </c>
      <c r="O394" s="17" t="s">
        <v>20</v>
      </c>
      <c r="P394" s="4"/>
    </row>
    <row r="395" spans="1:16">
      <c r="A395" s="12" t="s">
        <v>848</v>
      </c>
      <c r="B395" s="13">
        <v>1</v>
      </c>
      <c r="C395" s="13">
        <v>1</v>
      </c>
      <c r="D395" s="14">
        <v>2283292</v>
      </c>
      <c r="E395" s="14">
        <v>1744350</v>
      </c>
      <c r="F395" s="15" t="s">
        <v>849</v>
      </c>
      <c r="G395" s="18"/>
      <c r="H395" s="18"/>
      <c r="I395" s="18"/>
      <c r="J395" s="12"/>
      <c r="K395" s="12"/>
      <c r="L395" s="12" t="b">
        <f>IF(COUNTIFS(Table83[[#This Row],[Base Table]:[Energy Table]],"y")&gt;0,"y")</f>
        <v>0</v>
      </c>
      <c r="M395" s="16" t="s">
        <v>35</v>
      </c>
      <c r="N395" s="17" t="s">
        <v>19</v>
      </c>
      <c r="O395" s="17" t="s">
        <v>20</v>
      </c>
      <c r="P395" s="4"/>
    </row>
    <row r="396" spans="1:16">
      <c r="A396" s="12" t="s">
        <v>850</v>
      </c>
      <c r="B396" s="13">
        <v>5.0000000000000001E-3</v>
      </c>
      <c r="C396" s="13">
        <v>3.0000000000000001E-3</v>
      </c>
      <c r="D396" s="14">
        <v>12491</v>
      </c>
      <c r="E396" s="14">
        <v>6057</v>
      </c>
      <c r="F396" s="15" t="s">
        <v>851</v>
      </c>
      <c r="G396" s="18"/>
      <c r="H396" s="18"/>
      <c r="I396" s="18"/>
      <c r="J396" s="12"/>
      <c r="K396" s="12"/>
      <c r="L396" s="12" t="b">
        <f>IF(COUNTIFS(Table83[[#This Row],[Base Table]:[Energy Table]],"y")&gt;0,"y")</f>
        <v>0</v>
      </c>
      <c r="M396" s="16" t="s">
        <v>488</v>
      </c>
      <c r="N396" s="17" t="s">
        <v>231</v>
      </c>
      <c r="O396" s="17" t="s">
        <v>20</v>
      </c>
      <c r="P396" s="4"/>
    </row>
    <row r="397" spans="1:16">
      <c r="A397" s="12" t="s">
        <v>852</v>
      </c>
      <c r="B397" s="13">
        <v>1</v>
      </c>
      <c r="C397" s="13">
        <v>1</v>
      </c>
      <c r="D397" s="14">
        <v>2283292</v>
      </c>
      <c r="E397" s="14">
        <v>1744350</v>
      </c>
      <c r="F397" s="15" t="s">
        <v>853</v>
      </c>
      <c r="G397" s="18" t="s">
        <v>17</v>
      </c>
      <c r="H397" s="18"/>
      <c r="I397" s="18"/>
      <c r="J397" s="12"/>
      <c r="K397" s="12"/>
      <c r="L397" s="12" t="str">
        <f>IF(COUNTIFS(Table83[[#This Row],[Base Table]:[Energy Table]],"y")&gt;0,"y")</f>
        <v>y</v>
      </c>
      <c r="M397" s="16" t="s">
        <v>35</v>
      </c>
      <c r="N397" s="17" t="s">
        <v>19</v>
      </c>
      <c r="O397" s="17" t="s">
        <v>20</v>
      </c>
      <c r="P397" s="4"/>
    </row>
    <row r="398" spans="1:16">
      <c r="A398" s="12" t="s">
        <v>854</v>
      </c>
      <c r="B398" s="13">
        <v>0.48199999999999998</v>
      </c>
      <c r="C398" s="13">
        <v>0.45600000000000002</v>
      </c>
      <c r="D398" s="14">
        <v>1101118</v>
      </c>
      <c r="E398" s="14">
        <v>794812</v>
      </c>
      <c r="F398" s="15" t="s">
        <v>855</v>
      </c>
      <c r="G398" s="18"/>
      <c r="H398" s="18"/>
      <c r="I398" s="18"/>
      <c r="J398" s="12"/>
      <c r="K398" s="12"/>
      <c r="L398" s="12" t="b">
        <f>IF(COUNTIFS(Table83[[#This Row],[Base Table]:[Energy Table]],"y")&gt;0,"y")</f>
        <v>0</v>
      </c>
      <c r="M398" s="16" t="s">
        <v>48</v>
      </c>
      <c r="N398" s="17" t="s">
        <v>49</v>
      </c>
      <c r="O398" s="17" t="s">
        <v>20</v>
      </c>
      <c r="P398" s="4"/>
    </row>
    <row r="399" spans="1:16">
      <c r="A399" s="12" t="s">
        <v>856</v>
      </c>
      <c r="B399" s="13">
        <v>0.378</v>
      </c>
      <c r="C399" s="13">
        <v>0.35099999999999998</v>
      </c>
      <c r="D399" s="14">
        <v>863589</v>
      </c>
      <c r="E399" s="14">
        <v>611706</v>
      </c>
      <c r="F399" s="15" t="s">
        <v>857</v>
      </c>
      <c r="G399" s="18" t="s">
        <v>17</v>
      </c>
      <c r="H399" s="18" t="s">
        <v>17</v>
      </c>
      <c r="I399" s="18"/>
      <c r="J399" s="12"/>
      <c r="K399" s="12"/>
      <c r="L399" s="12" t="str">
        <f>IF(COUNTIFS(Table83[[#This Row],[Base Table]:[Energy Table]],"y")&gt;0,"y")</f>
        <v>y</v>
      </c>
      <c r="M399" s="16" t="s">
        <v>59</v>
      </c>
      <c r="N399" s="17" t="s">
        <v>53</v>
      </c>
      <c r="O399" s="17" t="s">
        <v>20</v>
      </c>
      <c r="P399" s="4"/>
    </row>
    <row r="400" spans="1:16">
      <c r="A400" s="12" t="s">
        <v>858</v>
      </c>
      <c r="B400" s="13">
        <v>0.49199999999999999</v>
      </c>
      <c r="C400" s="13">
        <v>0.46899999999999997</v>
      </c>
      <c r="D400" s="14">
        <v>1122319</v>
      </c>
      <c r="E400" s="14">
        <v>818326</v>
      </c>
      <c r="F400" s="15" t="s">
        <v>859</v>
      </c>
      <c r="G400" s="18" t="s">
        <v>17</v>
      </c>
      <c r="H400" s="18"/>
      <c r="I400" s="18"/>
      <c r="J400" s="12"/>
      <c r="K400" s="12"/>
      <c r="L400" s="12" t="str">
        <f>IF(COUNTIFS(Table83[[#This Row],[Base Table]:[Energy Table]],"y")&gt;0,"y")</f>
        <v>y</v>
      </c>
      <c r="M400" s="16" t="s">
        <v>18</v>
      </c>
      <c r="N400" s="17" t="s">
        <v>92</v>
      </c>
      <c r="O400" s="17" t="s">
        <v>20</v>
      </c>
      <c r="P400" s="4"/>
    </row>
    <row r="401" spans="1:16">
      <c r="A401" s="12" t="s">
        <v>860</v>
      </c>
      <c r="B401" s="13">
        <v>0.49199999999999999</v>
      </c>
      <c r="C401" s="13">
        <v>0.46899999999999997</v>
      </c>
      <c r="D401" s="14">
        <v>1122319</v>
      </c>
      <c r="E401" s="14">
        <v>818326</v>
      </c>
      <c r="F401" s="15" t="s">
        <v>861</v>
      </c>
      <c r="G401" s="18"/>
      <c r="H401" s="18"/>
      <c r="I401" s="18"/>
      <c r="J401" s="12"/>
      <c r="K401" s="12"/>
      <c r="L401" s="12" t="b">
        <f>IF(COUNTIFS(Table83[[#This Row],[Base Table]:[Energy Table]],"y")&gt;0,"y")</f>
        <v>0</v>
      </c>
      <c r="M401" s="16" t="s">
        <v>18</v>
      </c>
      <c r="N401" s="17" t="s">
        <v>92</v>
      </c>
      <c r="O401" s="17" t="s">
        <v>20</v>
      </c>
      <c r="P401" s="4"/>
    </row>
    <row r="402" spans="1:16">
      <c r="A402" s="12" t="s">
        <v>862</v>
      </c>
      <c r="B402" s="13">
        <v>0.378</v>
      </c>
      <c r="C402" s="13">
        <v>0.35099999999999998</v>
      </c>
      <c r="D402" s="14">
        <v>863589</v>
      </c>
      <c r="E402" s="14">
        <v>611706</v>
      </c>
      <c r="F402" s="15" t="s">
        <v>863</v>
      </c>
      <c r="G402" s="18"/>
      <c r="H402" s="18"/>
      <c r="I402" s="18"/>
      <c r="J402" s="12"/>
      <c r="K402" s="12"/>
      <c r="L402" s="12" t="b">
        <f>IF(COUNTIFS(Table83[[#This Row],[Base Table]:[Energy Table]],"y")&gt;0,"y")</f>
        <v>0</v>
      </c>
      <c r="M402" s="16" t="s">
        <v>199</v>
      </c>
      <c r="N402" s="17" t="s">
        <v>53</v>
      </c>
      <c r="O402" s="17" t="s">
        <v>20</v>
      </c>
      <c r="P402" s="4"/>
    </row>
    <row r="403" spans="1:16">
      <c r="A403" s="12" t="s">
        <v>864</v>
      </c>
      <c r="B403" s="13">
        <v>0.49199999999999999</v>
      </c>
      <c r="C403" s="13">
        <v>0.46899999999999997</v>
      </c>
      <c r="D403" s="14">
        <v>1122319</v>
      </c>
      <c r="E403" s="14">
        <v>818326</v>
      </c>
      <c r="F403" s="15" t="s">
        <v>865</v>
      </c>
      <c r="G403" s="18"/>
      <c r="H403" s="18"/>
      <c r="I403" s="18"/>
      <c r="J403" s="12"/>
      <c r="K403" s="12"/>
      <c r="L403" s="12" t="b">
        <f>IF(COUNTIFS(Table83[[#This Row],[Base Table]:[Energy Table]],"y")&gt;0,"y")</f>
        <v>0</v>
      </c>
      <c r="M403" s="16" t="s">
        <v>35</v>
      </c>
      <c r="N403" s="17" t="s">
        <v>92</v>
      </c>
      <c r="O403" s="17" t="s">
        <v>20</v>
      </c>
      <c r="P403" s="4"/>
    </row>
    <row r="404" spans="1:16">
      <c r="A404" s="12" t="s">
        <v>866</v>
      </c>
      <c r="B404" s="13">
        <v>0.49199999999999999</v>
      </c>
      <c r="C404" s="13">
        <v>0.46899999999999997</v>
      </c>
      <c r="D404" s="14">
        <v>1122319</v>
      </c>
      <c r="E404" s="14">
        <v>818326</v>
      </c>
      <c r="F404" s="15" t="s">
        <v>867</v>
      </c>
      <c r="G404" s="18"/>
      <c r="H404" s="18"/>
      <c r="I404" s="18"/>
      <c r="J404" s="12"/>
      <c r="K404" s="12"/>
      <c r="L404" s="12" t="b">
        <f>IF(COUNTIFS(Table83[[#This Row],[Base Table]:[Energy Table]],"y")&gt;0,"y")</f>
        <v>0</v>
      </c>
      <c r="M404" s="16" t="s">
        <v>35</v>
      </c>
      <c r="N404" s="17" t="s">
        <v>92</v>
      </c>
      <c r="O404" s="17" t="s">
        <v>20</v>
      </c>
      <c r="P404" s="4"/>
    </row>
    <row r="405" spans="1:16">
      <c r="A405" s="12" t="s">
        <v>868</v>
      </c>
      <c r="B405" s="13">
        <v>0.378</v>
      </c>
      <c r="C405" s="13">
        <v>0.35099999999999998</v>
      </c>
      <c r="D405" s="14">
        <v>863589</v>
      </c>
      <c r="E405" s="14">
        <v>611706</v>
      </c>
      <c r="F405" s="15" t="s">
        <v>869</v>
      </c>
      <c r="G405" s="18" t="s">
        <v>17</v>
      </c>
      <c r="H405" s="18" t="s">
        <v>17</v>
      </c>
      <c r="I405" s="18"/>
      <c r="J405" s="12"/>
      <c r="K405" s="12"/>
      <c r="L405" s="12" t="str">
        <f>IF(COUNTIFS(Table83[[#This Row],[Base Table]:[Energy Table]],"y")&gt;0,"y")</f>
        <v>y</v>
      </c>
      <c r="M405" s="16" t="s">
        <v>59</v>
      </c>
      <c r="N405" s="17" t="s">
        <v>53</v>
      </c>
      <c r="O405" s="17" t="s">
        <v>20</v>
      </c>
      <c r="P405" s="4"/>
    </row>
    <row r="406" spans="1:16">
      <c r="A406" s="12" t="s">
        <v>870</v>
      </c>
      <c r="B406" s="13">
        <v>0.378</v>
      </c>
      <c r="C406" s="13">
        <v>0.35099999999999998</v>
      </c>
      <c r="D406" s="14">
        <v>863589</v>
      </c>
      <c r="E406" s="14">
        <v>611706</v>
      </c>
      <c r="F406" s="15" t="s">
        <v>871</v>
      </c>
      <c r="G406" s="18"/>
      <c r="H406" s="18"/>
      <c r="I406" s="18"/>
      <c r="J406" s="12"/>
      <c r="K406" s="12"/>
      <c r="L406" s="12" t="b">
        <f>IF(COUNTIFS(Table83[[#This Row],[Base Table]:[Energy Table]],"y")&gt;0,"y")</f>
        <v>0</v>
      </c>
      <c r="M406" s="16" t="s">
        <v>199</v>
      </c>
      <c r="N406" s="17" t="s">
        <v>53</v>
      </c>
      <c r="O406" s="17" t="s">
        <v>32</v>
      </c>
      <c r="P406" s="4"/>
    </row>
    <row r="407" spans="1:16" ht="26.1">
      <c r="A407" s="12" t="s">
        <v>872</v>
      </c>
      <c r="B407" s="13">
        <v>0.378</v>
      </c>
      <c r="C407" s="13">
        <v>0.35099999999999998</v>
      </c>
      <c r="D407" s="14">
        <v>863589</v>
      </c>
      <c r="E407" s="14">
        <v>611706</v>
      </c>
      <c r="F407" s="15" t="s">
        <v>873</v>
      </c>
      <c r="G407" s="18" t="s">
        <v>17</v>
      </c>
      <c r="H407" s="18" t="s">
        <v>17</v>
      </c>
      <c r="I407" s="18"/>
      <c r="J407" s="12"/>
      <c r="K407" s="12"/>
      <c r="L407" s="12" t="str">
        <f>IF(COUNTIFS(Table83[[#This Row],[Base Table]:[Energy Table]],"y")&gt;0,"y")</f>
        <v>y</v>
      </c>
      <c r="M407" s="16" t="s">
        <v>178</v>
      </c>
      <c r="N407" s="17" t="s">
        <v>53</v>
      </c>
      <c r="O407" s="17" t="s">
        <v>20</v>
      </c>
      <c r="P407" s="4"/>
    </row>
    <row r="408" spans="1:16" ht="26.1">
      <c r="A408" s="12" t="s">
        <v>874</v>
      </c>
      <c r="B408" s="13">
        <v>0.49199999999999999</v>
      </c>
      <c r="C408" s="13">
        <v>0.46899999999999997</v>
      </c>
      <c r="D408" s="14">
        <v>1122319</v>
      </c>
      <c r="E408" s="14">
        <v>818326</v>
      </c>
      <c r="F408" s="15" t="s">
        <v>875</v>
      </c>
      <c r="G408" s="18"/>
      <c r="H408" s="18"/>
      <c r="I408" s="18"/>
      <c r="J408" s="12"/>
      <c r="K408" s="12"/>
      <c r="L408" s="12" t="b">
        <f>IF(COUNTIFS(Table83[[#This Row],[Base Table]:[Energy Table]],"y")&gt;0,"y")</f>
        <v>0</v>
      </c>
      <c r="M408" s="16" t="s">
        <v>18</v>
      </c>
      <c r="N408" s="17" t="s">
        <v>92</v>
      </c>
      <c r="O408" s="17" t="s">
        <v>20</v>
      </c>
      <c r="P408" s="4"/>
    </row>
    <row r="409" spans="1:16" ht="26.1">
      <c r="A409" s="12" t="s">
        <v>876</v>
      </c>
      <c r="B409" s="13" t="e">
        <v>#N/A</v>
      </c>
      <c r="C409" s="13" t="e">
        <v>#N/A</v>
      </c>
      <c r="D409" s="14" t="e">
        <v>#N/A</v>
      </c>
      <c r="E409" s="14" t="e">
        <v>#N/A</v>
      </c>
      <c r="F409" s="15" t="s">
        <v>877</v>
      </c>
      <c r="G409" s="18"/>
      <c r="H409" s="18"/>
      <c r="I409" s="18"/>
      <c r="J409" s="12"/>
      <c r="K409" s="12"/>
      <c r="L409" s="12" t="b">
        <f>IF(COUNTIFS(Table83[[#This Row],[Base Table]:[Energy Table]],"y")&gt;0,"y")</f>
        <v>0</v>
      </c>
      <c r="M409" s="16" t="s">
        <v>18</v>
      </c>
      <c r="N409" s="17" t="s">
        <v>49</v>
      </c>
      <c r="O409" s="17" t="s">
        <v>20</v>
      </c>
      <c r="P409" s="4"/>
    </row>
    <row r="410" spans="1:16">
      <c r="A410" s="12" t="s">
        <v>878</v>
      </c>
      <c r="B410" s="13">
        <v>1</v>
      </c>
      <c r="C410" s="13">
        <v>1</v>
      </c>
      <c r="D410" s="14">
        <v>2283292</v>
      </c>
      <c r="E410" s="14">
        <v>1744350</v>
      </c>
      <c r="F410" s="15" t="s">
        <v>879</v>
      </c>
      <c r="G410" s="18" t="s">
        <v>17</v>
      </c>
      <c r="H410" s="18" t="s">
        <v>17</v>
      </c>
      <c r="I410" s="18"/>
      <c r="J410" s="12"/>
      <c r="K410" s="12"/>
      <c r="L410" s="12" t="str">
        <f>IF(COUNTIFS(Table83[[#This Row],[Base Table]:[Energy Table]],"y")&gt;0,"y")</f>
        <v>y</v>
      </c>
      <c r="M410" s="16" t="s">
        <v>35</v>
      </c>
      <c r="N410" s="17" t="s">
        <v>19</v>
      </c>
      <c r="O410" s="17" t="s">
        <v>20</v>
      </c>
      <c r="P410" s="4"/>
    </row>
    <row r="411" spans="1:16">
      <c r="A411" s="12" t="s">
        <v>880</v>
      </c>
      <c r="B411" s="13">
        <v>0.442</v>
      </c>
      <c r="C411" s="13">
        <v>0.41699999999999998</v>
      </c>
      <c r="D411" s="14">
        <v>1009091</v>
      </c>
      <c r="E411" s="14">
        <v>727557</v>
      </c>
      <c r="F411" s="15" t="s">
        <v>881</v>
      </c>
      <c r="G411" s="18"/>
      <c r="H411" s="18"/>
      <c r="I411" s="18"/>
      <c r="J411" s="12"/>
      <c r="K411" s="12"/>
      <c r="L411" s="12" t="b">
        <f>IF(COUNTIFS(Table83[[#This Row],[Base Table]:[Energy Table]],"y")&gt;0,"y")</f>
        <v>0</v>
      </c>
      <c r="M411" s="16" t="s">
        <v>35</v>
      </c>
      <c r="N411" s="17" t="s">
        <v>49</v>
      </c>
      <c r="O411" s="17" t="s">
        <v>20</v>
      </c>
      <c r="P411" s="4"/>
    </row>
    <row r="412" spans="1:16">
      <c r="A412" s="12" t="s">
        <v>882</v>
      </c>
      <c r="B412" s="13">
        <v>1</v>
      </c>
      <c r="C412" s="13">
        <v>1</v>
      </c>
      <c r="D412" s="14">
        <v>2283292</v>
      </c>
      <c r="E412" s="14">
        <v>1744350</v>
      </c>
      <c r="F412" s="15" t="s">
        <v>883</v>
      </c>
      <c r="G412" s="18" t="s">
        <v>17</v>
      </c>
      <c r="H412" s="18" t="s">
        <v>17</v>
      </c>
      <c r="I412" s="18"/>
      <c r="J412" s="12"/>
      <c r="K412" s="12"/>
      <c r="L412" s="12" t="str">
        <f>IF(COUNTIFS(Table83[[#This Row],[Base Table]:[Energy Table]],"y")&gt;0,"y")</f>
        <v>y</v>
      </c>
      <c r="M412" s="16" t="s">
        <v>35</v>
      </c>
      <c r="N412" s="17" t="s">
        <v>19</v>
      </c>
      <c r="O412" s="17" t="s">
        <v>20</v>
      </c>
      <c r="P412" s="4"/>
    </row>
    <row r="413" spans="1:16">
      <c r="A413" s="12" t="s">
        <v>884</v>
      </c>
      <c r="B413" s="13">
        <v>1</v>
      </c>
      <c r="C413" s="13">
        <v>1</v>
      </c>
      <c r="D413" s="14">
        <v>2283292</v>
      </c>
      <c r="E413" s="14">
        <v>1744350</v>
      </c>
      <c r="F413" s="15" t="s">
        <v>885</v>
      </c>
      <c r="G413" s="18" t="s">
        <v>17</v>
      </c>
      <c r="H413" s="18" t="s">
        <v>17</v>
      </c>
      <c r="I413" s="18"/>
      <c r="J413" s="12"/>
      <c r="K413" s="12"/>
      <c r="L413" s="12" t="str">
        <f>IF(COUNTIFS(Table83[[#This Row],[Base Table]:[Energy Table]],"y")&gt;0,"y")</f>
        <v>y</v>
      </c>
      <c r="M413" s="16" t="s">
        <v>35</v>
      </c>
      <c r="N413" s="17" t="s">
        <v>19</v>
      </c>
      <c r="O413" s="17" t="s">
        <v>20</v>
      </c>
      <c r="P413" s="4"/>
    </row>
    <row r="414" spans="1:16">
      <c r="A414" s="12" t="s">
        <v>886</v>
      </c>
      <c r="B414" s="13">
        <v>1</v>
      </c>
      <c r="C414" s="13">
        <v>1</v>
      </c>
      <c r="D414" s="14">
        <v>2283292</v>
      </c>
      <c r="E414" s="14">
        <v>1744350</v>
      </c>
      <c r="F414" s="15" t="s">
        <v>887</v>
      </c>
      <c r="G414" s="18" t="s">
        <v>17</v>
      </c>
      <c r="H414" s="18" t="s">
        <v>17</v>
      </c>
      <c r="I414" s="18"/>
      <c r="J414" s="12"/>
      <c r="K414" s="12"/>
      <c r="L414" s="12" t="str">
        <f>IF(COUNTIFS(Table83[[#This Row],[Base Table]:[Energy Table]],"y")&gt;0,"y")</f>
        <v>y</v>
      </c>
      <c r="M414" s="16" t="s">
        <v>35</v>
      </c>
      <c r="N414" s="17" t="s">
        <v>19</v>
      </c>
      <c r="O414" s="17" t="s">
        <v>20</v>
      </c>
      <c r="P414" s="4"/>
    </row>
    <row r="415" spans="1:16">
      <c r="A415" s="12" t="s">
        <v>888</v>
      </c>
      <c r="B415" s="13">
        <v>1</v>
      </c>
      <c r="C415" s="13">
        <v>1</v>
      </c>
      <c r="D415" s="14">
        <v>2283292</v>
      </c>
      <c r="E415" s="14">
        <v>1744350</v>
      </c>
      <c r="F415" s="15" t="s">
        <v>889</v>
      </c>
      <c r="G415" s="18" t="s">
        <v>17</v>
      </c>
      <c r="H415" s="18" t="s">
        <v>17</v>
      </c>
      <c r="I415" s="18"/>
      <c r="J415" s="12"/>
      <c r="K415" s="12"/>
      <c r="L415" s="12" t="str">
        <f>IF(COUNTIFS(Table83[[#This Row],[Base Table]:[Energy Table]],"y")&gt;0,"y")</f>
        <v>y</v>
      </c>
      <c r="M415" s="16" t="s">
        <v>35</v>
      </c>
      <c r="N415" s="17" t="s">
        <v>19</v>
      </c>
      <c r="O415" s="17" t="s">
        <v>20</v>
      </c>
      <c r="P415" s="4"/>
    </row>
    <row r="416" spans="1:16">
      <c r="A416" s="12" t="s">
        <v>890</v>
      </c>
      <c r="B416" s="13">
        <v>1</v>
      </c>
      <c r="C416" s="13">
        <v>1</v>
      </c>
      <c r="D416" s="14">
        <v>2283292</v>
      </c>
      <c r="E416" s="14">
        <v>1744350</v>
      </c>
      <c r="F416" s="15" t="s">
        <v>891</v>
      </c>
      <c r="G416" s="18" t="s">
        <v>17</v>
      </c>
      <c r="H416" s="18" t="s">
        <v>17</v>
      </c>
      <c r="I416" s="18"/>
      <c r="J416" s="12"/>
      <c r="K416" s="12"/>
      <c r="L416" s="12" t="str">
        <f>IF(COUNTIFS(Table83[[#This Row],[Base Table]:[Energy Table]],"y")&gt;0,"y")</f>
        <v>y</v>
      </c>
      <c r="M416" s="16" t="s">
        <v>35</v>
      </c>
      <c r="N416" s="17" t="s">
        <v>24</v>
      </c>
      <c r="O416" s="17" t="s">
        <v>20</v>
      </c>
      <c r="P416" s="4"/>
    </row>
    <row r="417" spans="1:16">
      <c r="A417" s="12" t="s">
        <v>892</v>
      </c>
      <c r="B417" s="13">
        <v>1</v>
      </c>
      <c r="C417" s="13">
        <v>1</v>
      </c>
      <c r="D417" s="14">
        <v>2283292</v>
      </c>
      <c r="E417" s="14">
        <v>1744350</v>
      </c>
      <c r="F417" s="15" t="s">
        <v>893</v>
      </c>
      <c r="G417" s="18"/>
      <c r="H417" s="18"/>
      <c r="I417" s="18"/>
      <c r="J417" s="12"/>
      <c r="K417" s="12"/>
      <c r="L417" s="12" t="b">
        <f>IF(COUNTIFS(Table83[[#This Row],[Base Table]:[Energy Table]],"y")&gt;0,"y")</f>
        <v>0</v>
      </c>
      <c r="M417" s="16" t="s">
        <v>40</v>
      </c>
      <c r="N417" s="17" t="s">
        <v>19</v>
      </c>
      <c r="O417" s="17" t="s">
        <v>20</v>
      </c>
      <c r="P417" s="4"/>
    </row>
    <row r="418" spans="1:16">
      <c r="A418" s="12" t="s">
        <v>894</v>
      </c>
      <c r="B418" s="13">
        <v>0.995</v>
      </c>
      <c r="C418" s="13">
        <v>0.999</v>
      </c>
      <c r="D418" s="14">
        <v>2271010</v>
      </c>
      <c r="E418" s="14">
        <v>1743002</v>
      </c>
      <c r="F418" s="15" t="s">
        <v>895</v>
      </c>
      <c r="G418" s="18"/>
      <c r="H418" s="18"/>
      <c r="I418" s="18"/>
      <c r="J418" s="12"/>
      <c r="K418" s="12"/>
      <c r="L418" s="12" t="b">
        <f>IF(COUNTIFS(Table83[[#This Row],[Base Table]:[Energy Table]],"y")&gt;0,"y")</f>
        <v>0</v>
      </c>
      <c r="M418" s="16" t="s">
        <v>215</v>
      </c>
      <c r="N418" s="17" t="s">
        <v>24</v>
      </c>
      <c r="O418" s="17" t="s">
        <v>20</v>
      </c>
      <c r="P418" s="4"/>
    </row>
    <row r="419" spans="1:16">
      <c r="A419" s="12" t="s">
        <v>896</v>
      </c>
      <c r="B419" s="13">
        <v>1</v>
      </c>
      <c r="C419" s="13">
        <v>1</v>
      </c>
      <c r="D419" s="14">
        <v>2283230</v>
      </c>
      <c r="E419" s="14">
        <v>1744335</v>
      </c>
      <c r="F419" s="15" t="s">
        <v>897</v>
      </c>
      <c r="G419" s="18"/>
      <c r="H419" s="18"/>
      <c r="I419" s="18"/>
      <c r="J419" s="12"/>
      <c r="K419" s="12"/>
      <c r="L419" s="12" t="b">
        <f>IF(COUNTIFS(Table83[[#This Row],[Base Table]:[Energy Table]],"y")&gt;0,"y")</f>
        <v>0</v>
      </c>
      <c r="M419" s="16" t="s">
        <v>215</v>
      </c>
      <c r="N419" s="17" t="s">
        <v>19</v>
      </c>
      <c r="O419" s="17" t="s">
        <v>20</v>
      </c>
      <c r="P419" s="4"/>
    </row>
    <row r="420" spans="1:16">
      <c r="A420" s="12" t="s">
        <v>898</v>
      </c>
      <c r="B420" s="13">
        <v>2.7E-2</v>
      </c>
      <c r="C420" s="13">
        <v>0.26400000000000001</v>
      </c>
      <c r="D420" s="14">
        <v>60691</v>
      </c>
      <c r="E420" s="14">
        <v>460864</v>
      </c>
      <c r="F420" s="15" t="s">
        <v>899</v>
      </c>
      <c r="G420" s="18"/>
      <c r="H420" s="18"/>
      <c r="I420" s="18"/>
      <c r="J420" s="12"/>
      <c r="K420" s="12"/>
      <c r="L420" s="12" t="b">
        <f>IF(COUNTIFS(Table83[[#This Row],[Base Table]:[Energy Table]],"y")&gt;0,"y")</f>
        <v>0</v>
      </c>
      <c r="M420" s="16" t="s">
        <v>23</v>
      </c>
      <c r="N420" s="17" t="s">
        <v>24</v>
      </c>
      <c r="O420" s="17" t="s">
        <v>20</v>
      </c>
      <c r="P420" s="4"/>
    </row>
    <row r="421" spans="1:16">
      <c r="A421" s="12" t="s">
        <v>900</v>
      </c>
      <c r="B421" s="13">
        <v>0.998</v>
      </c>
      <c r="C421" s="13">
        <v>1</v>
      </c>
      <c r="D421" s="14">
        <v>2278175</v>
      </c>
      <c r="E421" s="14">
        <v>1744284</v>
      </c>
      <c r="F421" s="15" t="s">
        <v>901</v>
      </c>
      <c r="G421" s="18" t="s">
        <v>17</v>
      </c>
      <c r="H421" s="18"/>
      <c r="I421" s="18"/>
      <c r="J421" s="12"/>
      <c r="K421" s="12"/>
      <c r="L421" s="12" t="str">
        <f>IF(COUNTIFS(Table83[[#This Row],[Base Table]:[Energy Table]],"y")&gt;0,"y")</f>
        <v>y</v>
      </c>
      <c r="M421" s="16" t="s">
        <v>80</v>
      </c>
      <c r="N421" s="17" t="s">
        <v>24</v>
      </c>
      <c r="O421" s="17" t="s">
        <v>20</v>
      </c>
      <c r="P421" s="4"/>
    </row>
    <row r="422" spans="1:16">
      <c r="A422" s="12" t="s">
        <v>902</v>
      </c>
      <c r="B422" s="13">
        <v>1</v>
      </c>
      <c r="C422" s="13">
        <v>1</v>
      </c>
      <c r="D422" s="14">
        <v>2283292</v>
      </c>
      <c r="E422" s="14">
        <v>1744350</v>
      </c>
      <c r="F422" s="15" t="s">
        <v>903</v>
      </c>
      <c r="G422" s="18" t="s">
        <v>17</v>
      </c>
      <c r="H422" s="18" t="s">
        <v>17</v>
      </c>
      <c r="I422" s="18"/>
      <c r="J422" s="12"/>
      <c r="K422" s="12"/>
      <c r="L422" s="12" t="str">
        <f>IF(COUNTIFS(Table83[[#This Row],[Base Table]:[Energy Table]],"y")&gt;0,"y")</f>
        <v>y</v>
      </c>
      <c r="M422" s="16" t="s">
        <v>35</v>
      </c>
      <c r="N422" s="17" t="s">
        <v>19</v>
      </c>
      <c r="O422" s="17" t="s">
        <v>20</v>
      </c>
      <c r="P422" s="4"/>
    </row>
    <row r="423" spans="1:16">
      <c r="A423" s="12" t="s">
        <v>904</v>
      </c>
      <c r="B423" s="13">
        <v>0.90900000000000003</v>
      </c>
      <c r="C423" s="13">
        <v>0.94899999999999995</v>
      </c>
      <c r="D423" s="14">
        <v>2076410</v>
      </c>
      <c r="E423" s="14">
        <v>1654589</v>
      </c>
      <c r="F423" s="15" t="s">
        <v>905</v>
      </c>
      <c r="G423" s="18" t="s">
        <v>17</v>
      </c>
      <c r="H423" s="18" t="s">
        <v>17</v>
      </c>
      <c r="I423" s="18"/>
      <c r="J423" s="12"/>
      <c r="K423" s="12"/>
      <c r="L423" s="12" t="str">
        <f>IF(COUNTIFS(Table83[[#This Row],[Base Table]:[Energy Table]],"y")&gt;0,"y")</f>
        <v>y</v>
      </c>
      <c r="M423" s="16" t="s">
        <v>35</v>
      </c>
      <c r="N423" s="17" t="s">
        <v>347</v>
      </c>
      <c r="O423" s="17" t="s">
        <v>20</v>
      </c>
      <c r="P423" s="4"/>
    </row>
    <row r="424" spans="1:16">
      <c r="A424" s="12" t="s">
        <v>906</v>
      </c>
      <c r="B424" s="13">
        <v>1</v>
      </c>
      <c r="C424" s="13">
        <v>1</v>
      </c>
      <c r="D424" s="14">
        <v>2283292</v>
      </c>
      <c r="E424" s="14">
        <v>1744350</v>
      </c>
      <c r="F424" s="15" t="s">
        <v>907</v>
      </c>
      <c r="G424" s="18"/>
      <c r="H424" s="18"/>
      <c r="I424" s="18"/>
      <c r="J424" s="12"/>
      <c r="K424" s="12"/>
      <c r="L424" s="12" t="b">
        <f>IF(COUNTIFS(Table83[[#This Row],[Base Table]:[Energy Table]],"y")&gt;0,"y")</f>
        <v>0</v>
      </c>
      <c r="M424" s="16" t="s">
        <v>35</v>
      </c>
      <c r="N424" s="17" t="s">
        <v>19</v>
      </c>
      <c r="O424" s="17" t="s">
        <v>20</v>
      </c>
      <c r="P424" s="4"/>
    </row>
    <row r="425" spans="1:16" ht="26.1">
      <c r="A425" s="12" t="s">
        <v>908</v>
      </c>
      <c r="B425" s="13">
        <v>0.55800000000000005</v>
      </c>
      <c r="C425" s="13">
        <v>0.54</v>
      </c>
      <c r="D425" s="14">
        <v>1274939</v>
      </c>
      <c r="E425" s="14">
        <v>941992</v>
      </c>
      <c r="F425" s="15" t="s">
        <v>909</v>
      </c>
      <c r="G425" s="18"/>
      <c r="H425" s="18"/>
      <c r="I425" s="18"/>
      <c r="J425" s="12"/>
      <c r="K425" s="12"/>
      <c r="L425" s="12" t="b">
        <f>IF(COUNTIFS(Table83[[#This Row],[Base Table]:[Energy Table]],"y")&gt;0,"y")</f>
        <v>0</v>
      </c>
      <c r="M425" s="16" t="s">
        <v>35</v>
      </c>
      <c r="N425" s="17" t="s">
        <v>49</v>
      </c>
      <c r="O425" s="17" t="s">
        <v>20</v>
      </c>
      <c r="P425" s="4"/>
    </row>
    <row r="426" spans="1:16">
      <c r="A426" s="12" t="s">
        <v>910</v>
      </c>
      <c r="B426" s="13">
        <v>1</v>
      </c>
      <c r="C426" s="13">
        <v>1</v>
      </c>
      <c r="D426" s="14">
        <v>2283292</v>
      </c>
      <c r="E426" s="14">
        <v>1744350</v>
      </c>
      <c r="F426" s="15" t="s">
        <v>911</v>
      </c>
      <c r="G426" s="18" t="s">
        <v>17</v>
      </c>
      <c r="H426" s="18"/>
      <c r="I426" s="18"/>
      <c r="J426" s="12"/>
      <c r="K426" s="12"/>
      <c r="L426" s="12" t="str">
        <f>IF(COUNTIFS(Table83[[#This Row],[Base Table]:[Energy Table]],"y")&gt;0,"y")</f>
        <v>y</v>
      </c>
      <c r="M426" s="16" t="s">
        <v>35</v>
      </c>
      <c r="N426" s="17" t="s">
        <v>19</v>
      </c>
      <c r="O426" s="17" t="s">
        <v>20</v>
      </c>
      <c r="P426" s="4"/>
    </row>
    <row r="427" spans="1:16">
      <c r="A427" s="12" t="s">
        <v>912</v>
      </c>
      <c r="B427" s="13">
        <v>1</v>
      </c>
      <c r="C427" s="13">
        <v>1</v>
      </c>
      <c r="D427" s="14">
        <v>2283292</v>
      </c>
      <c r="E427" s="14">
        <v>1744350</v>
      </c>
      <c r="F427" s="15" t="s">
        <v>913</v>
      </c>
      <c r="G427" s="18"/>
      <c r="H427" s="18"/>
      <c r="I427" s="18"/>
      <c r="J427" s="12"/>
      <c r="K427" s="12"/>
      <c r="L427" s="12" t="b">
        <f>IF(COUNTIFS(Table83[[#This Row],[Base Table]:[Energy Table]],"y")&gt;0,"y")</f>
        <v>0</v>
      </c>
      <c r="M427" s="16" t="s">
        <v>35</v>
      </c>
      <c r="N427" s="17" t="s">
        <v>19</v>
      </c>
      <c r="O427" s="17" t="s">
        <v>20</v>
      </c>
      <c r="P427" s="4"/>
    </row>
    <row r="428" spans="1:16">
      <c r="A428" s="12" t="s">
        <v>914</v>
      </c>
      <c r="B428" s="13">
        <v>0.55800000000000005</v>
      </c>
      <c r="C428" s="13">
        <v>0.54</v>
      </c>
      <c r="D428" s="14">
        <v>1274939</v>
      </c>
      <c r="E428" s="14">
        <v>941992</v>
      </c>
      <c r="F428" s="15" t="s">
        <v>915</v>
      </c>
      <c r="G428" s="18"/>
      <c r="H428" s="18"/>
      <c r="I428" s="18"/>
      <c r="J428" s="12"/>
      <c r="K428" s="12"/>
      <c r="L428" s="12" t="b">
        <f>IF(COUNTIFS(Table83[[#This Row],[Base Table]:[Energy Table]],"y")&gt;0,"y")</f>
        <v>0</v>
      </c>
      <c r="M428" s="16" t="s">
        <v>35</v>
      </c>
      <c r="N428" s="17" t="s">
        <v>49</v>
      </c>
      <c r="O428" s="17" t="s">
        <v>20</v>
      </c>
      <c r="P428" s="4"/>
    </row>
    <row r="429" spans="1:16">
      <c r="A429" s="12" t="s">
        <v>916</v>
      </c>
      <c r="B429" s="13">
        <v>0.55800000000000005</v>
      </c>
      <c r="C429" s="13">
        <v>0.54</v>
      </c>
      <c r="D429" s="14">
        <v>1274939</v>
      </c>
      <c r="E429" s="14">
        <v>941992</v>
      </c>
      <c r="F429" s="15" t="s">
        <v>917</v>
      </c>
      <c r="G429" s="18"/>
      <c r="H429" s="18"/>
      <c r="I429" s="18"/>
      <c r="J429" s="12"/>
      <c r="K429" s="12"/>
      <c r="L429" s="12" t="b">
        <f>IF(COUNTIFS(Table83[[#This Row],[Base Table]:[Energy Table]],"y")&gt;0,"y")</f>
        <v>0</v>
      </c>
      <c r="M429" s="16" t="s">
        <v>35</v>
      </c>
      <c r="N429" s="17" t="s">
        <v>49</v>
      </c>
      <c r="O429" s="17" t="s">
        <v>20</v>
      </c>
      <c r="P429" s="4"/>
    </row>
    <row r="430" spans="1:16">
      <c r="A430" s="12" t="s">
        <v>918</v>
      </c>
      <c r="B430" s="13">
        <v>1</v>
      </c>
      <c r="C430" s="13">
        <v>1</v>
      </c>
      <c r="D430" s="14">
        <v>2283292</v>
      </c>
      <c r="E430" s="14">
        <v>1744350</v>
      </c>
      <c r="F430" s="15" t="s">
        <v>919</v>
      </c>
      <c r="G430" s="18" t="s">
        <v>17</v>
      </c>
      <c r="H430" s="18" t="s">
        <v>17</v>
      </c>
      <c r="I430" s="18"/>
      <c r="J430" s="12"/>
      <c r="K430" s="12"/>
      <c r="L430" s="12" t="str">
        <f>IF(COUNTIFS(Table83[[#This Row],[Base Table]:[Energy Table]],"y")&gt;0,"y")</f>
        <v>y</v>
      </c>
      <c r="M430" s="16" t="s">
        <v>35</v>
      </c>
      <c r="N430" s="17" t="s">
        <v>19</v>
      </c>
      <c r="O430" s="17" t="s">
        <v>20</v>
      </c>
      <c r="P430" s="4"/>
    </row>
    <row r="431" spans="1:16" ht="26.1">
      <c r="A431" s="12" t="s">
        <v>920</v>
      </c>
      <c r="B431" s="13">
        <v>0.55800000000000005</v>
      </c>
      <c r="C431" s="13">
        <v>0.54</v>
      </c>
      <c r="D431" s="14">
        <v>1274939</v>
      </c>
      <c r="E431" s="14">
        <v>941992</v>
      </c>
      <c r="F431" s="15" t="s">
        <v>921</v>
      </c>
      <c r="G431" s="18"/>
      <c r="H431" s="18"/>
      <c r="I431" s="18"/>
      <c r="J431" s="12"/>
      <c r="K431" s="12"/>
      <c r="L431" s="12" t="b">
        <f>IF(COUNTIFS(Table83[[#This Row],[Base Table]:[Energy Table]],"y")&gt;0,"y")</f>
        <v>0</v>
      </c>
      <c r="M431" s="16" t="s">
        <v>35</v>
      </c>
      <c r="N431" s="17" t="s">
        <v>49</v>
      </c>
      <c r="O431" s="17" t="s">
        <v>20</v>
      </c>
      <c r="P431" s="4"/>
    </row>
    <row r="432" spans="1:16">
      <c r="A432" s="12" t="s">
        <v>922</v>
      </c>
      <c r="B432" s="13">
        <v>0.48199999999999998</v>
      </c>
      <c r="C432" s="13">
        <v>0.45600000000000002</v>
      </c>
      <c r="D432" s="14">
        <v>1101118</v>
      </c>
      <c r="E432" s="14">
        <v>794812</v>
      </c>
      <c r="F432" s="15" t="s">
        <v>923</v>
      </c>
      <c r="G432" s="18"/>
      <c r="H432" s="18"/>
      <c r="I432" s="18"/>
      <c r="J432" s="12"/>
      <c r="K432" s="12"/>
      <c r="L432" s="12" t="b">
        <f>IF(COUNTIFS(Table83[[#This Row],[Base Table]:[Energy Table]],"y")&gt;0,"y")</f>
        <v>0</v>
      </c>
      <c r="M432" s="16" t="s">
        <v>48</v>
      </c>
      <c r="N432" s="17" t="s">
        <v>49</v>
      </c>
      <c r="O432" s="17" t="s">
        <v>20</v>
      </c>
      <c r="P432" s="4"/>
    </row>
    <row r="433" spans="1:16" ht="26.1">
      <c r="A433" s="12" t="s">
        <v>924</v>
      </c>
      <c r="B433" s="13">
        <v>0.49199999999999999</v>
      </c>
      <c r="C433" s="13">
        <v>0.46899999999999997</v>
      </c>
      <c r="D433" s="14">
        <v>1122319</v>
      </c>
      <c r="E433" s="14">
        <v>818326</v>
      </c>
      <c r="F433" s="15" t="s">
        <v>925</v>
      </c>
      <c r="G433" s="18"/>
      <c r="H433" s="18"/>
      <c r="I433" s="18" t="s">
        <v>17</v>
      </c>
      <c r="J433" s="12"/>
      <c r="K433" s="12"/>
      <c r="L433" s="12" t="str">
        <f>IF(COUNTIFS(Table83[[#This Row],[Base Table]:[Energy Table]],"y")&gt;0,"y")</f>
        <v>y</v>
      </c>
      <c r="M433" s="16" t="s">
        <v>18</v>
      </c>
      <c r="N433" s="17" t="s">
        <v>92</v>
      </c>
      <c r="O433" s="17" t="s">
        <v>20</v>
      </c>
      <c r="P433" s="4"/>
    </row>
    <row r="434" spans="1:16">
      <c r="A434" s="12" t="s">
        <v>926</v>
      </c>
      <c r="B434" s="13">
        <v>1.7000000000000001E-2</v>
      </c>
      <c r="C434" s="13">
        <v>0.17</v>
      </c>
      <c r="D434" s="14">
        <v>39142</v>
      </c>
      <c r="E434" s="14">
        <v>296823</v>
      </c>
      <c r="F434" s="15" t="s">
        <v>927</v>
      </c>
      <c r="G434" s="18"/>
      <c r="H434" s="18"/>
      <c r="I434" s="18"/>
      <c r="J434" s="12"/>
      <c r="K434" s="12"/>
      <c r="L434" s="12" t="b">
        <f>IF(COUNTIFS(Table83[[#This Row],[Base Table]:[Energy Table]],"y")&gt;0,"y")</f>
        <v>0</v>
      </c>
      <c r="M434" s="16" t="s">
        <v>23</v>
      </c>
      <c r="N434" s="17" t="s">
        <v>24</v>
      </c>
      <c r="O434" s="17" t="s">
        <v>20</v>
      </c>
      <c r="P434" s="4"/>
    </row>
    <row r="435" spans="1:16">
      <c r="A435" s="12" t="s">
        <v>928</v>
      </c>
      <c r="B435" s="13">
        <v>1</v>
      </c>
      <c r="C435" s="13">
        <v>1</v>
      </c>
      <c r="D435" s="14">
        <v>2283292</v>
      </c>
      <c r="E435" s="14">
        <v>1744350</v>
      </c>
      <c r="F435" s="15" t="s">
        <v>929</v>
      </c>
      <c r="G435" s="18" t="s">
        <v>17</v>
      </c>
      <c r="H435" s="18" t="s">
        <v>17</v>
      </c>
      <c r="I435" s="18"/>
      <c r="J435" s="12"/>
      <c r="K435" s="12"/>
      <c r="L435" s="12" t="str">
        <f>IF(COUNTIFS(Table83[[#This Row],[Base Table]:[Energy Table]],"y")&gt;0,"y")</f>
        <v>y</v>
      </c>
      <c r="M435" s="16" t="s">
        <v>35</v>
      </c>
      <c r="N435" s="17" t="s">
        <v>19</v>
      </c>
      <c r="O435" s="17" t="s">
        <v>20</v>
      </c>
      <c r="P435" s="4"/>
    </row>
    <row r="436" spans="1:16" ht="26.1">
      <c r="A436" s="12" t="s">
        <v>930</v>
      </c>
      <c r="B436" s="13">
        <v>0.187</v>
      </c>
      <c r="C436" s="13">
        <v>0.17199999999999999</v>
      </c>
      <c r="D436" s="14">
        <v>426076</v>
      </c>
      <c r="E436" s="14">
        <v>299367</v>
      </c>
      <c r="F436" s="15" t="s">
        <v>931</v>
      </c>
      <c r="G436" s="18"/>
      <c r="H436" s="18"/>
      <c r="I436" s="18"/>
      <c r="J436" s="12"/>
      <c r="K436" s="12"/>
      <c r="L436" s="12" t="b">
        <f>IF(COUNTIFS(Table83[[#This Row],[Base Table]:[Energy Table]],"y")&gt;0,"y")</f>
        <v>0</v>
      </c>
      <c r="M436" s="16" t="s">
        <v>80</v>
      </c>
      <c r="N436" s="17" t="s">
        <v>134</v>
      </c>
      <c r="O436" s="17" t="s">
        <v>20</v>
      </c>
      <c r="P436" s="4"/>
    </row>
    <row r="437" spans="1:16" ht="26.1">
      <c r="A437" s="12" t="s">
        <v>932</v>
      </c>
      <c r="B437" s="13">
        <v>0.187</v>
      </c>
      <c r="C437" s="13">
        <v>0.17199999999999999</v>
      </c>
      <c r="D437" s="14">
        <v>426076</v>
      </c>
      <c r="E437" s="14">
        <v>299367</v>
      </c>
      <c r="F437" s="15" t="s">
        <v>933</v>
      </c>
      <c r="G437" s="18"/>
      <c r="H437" s="18"/>
      <c r="I437" s="18"/>
      <c r="J437" s="12"/>
      <c r="K437" s="12"/>
      <c r="L437" s="12" t="b">
        <f>IF(COUNTIFS(Table83[[#This Row],[Base Table]:[Energy Table]],"y")&gt;0,"y")</f>
        <v>0</v>
      </c>
      <c r="M437" s="16" t="s">
        <v>80</v>
      </c>
      <c r="N437" s="17" t="s">
        <v>134</v>
      </c>
      <c r="O437" s="17" t="s">
        <v>20</v>
      </c>
      <c r="P437" s="4"/>
    </row>
    <row r="438" spans="1:16">
      <c r="A438" s="12" t="s">
        <v>934</v>
      </c>
      <c r="B438" s="13">
        <v>0.25700000000000001</v>
      </c>
      <c r="C438" s="13">
        <v>0.217</v>
      </c>
      <c r="D438" s="14">
        <v>587073</v>
      </c>
      <c r="E438" s="14">
        <v>378458</v>
      </c>
      <c r="F438" s="15" t="s">
        <v>935</v>
      </c>
      <c r="G438" s="18"/>
      <c r="H438" s="18"/>
      <c r="I438" s="18"/>
      <c r="J438" s="12"/>
      <c r="K438" s="12"/>
      <c r="L438" s="12" t="b">
        <f>IF(COUNTIFS(Table83[[#This Row],[Base Table]:[Energy Table]],"y")&gt;0,"y")</f>
        <v>0</v>
      </c>
      <c r="M438" s="16" t="s">
        <v>622</v>
      </c>
      <c r="N438" s="17" t="s">
        <v>53</v>
      </c>
      <c r="O438" s="17" t="s">
        <v>20</v>
      </c>
      <c r="P438" s="4"/>
    </row>
    <row r="439" spans="1:16" ht="15.95">
      <c r="A439" s="9"/>
      <c r="B439" s="9"/>
      <c r="C439" s="9"/>
      <c r="D439" s="9"/>
      <c r="E439" s="9"/>
      <c r="F439" s="11"/>
      <c r="G439" s="9"/>
      <c r="H439" s="9"/>
      <c r="I439" s="9"/>
      <c r="K439" s="9"/>
      <c r="L439" s="9"/>
      <c r="M439" s="9"/>
      <c r="N439" s="9"/>
      <c r="O439" s="10"/>
      <c r="P439" s="9"/>
    </row>
  </sheetData>
  <phoneticPr fontId="7" type="noConversion"/>
  <printOptions headings="1"/>
  <pageMargins left="0.7" right="0.7" top="0.75" bottom="0.75" header="0.3" footer="0.3"/>
  <pageSetup scale="35" fitToHeight="0" orientation="landscape" r:id="rId1"/>
  <headerFooter>
    <oddHeader xml:space="preserve">&amp;L&amp;16Natural Resources Canada&amp;C&amp;16Data Dictionary 
Open Data&amp;R&amp;"Calibri"&amp;12&amp;K000000 UNCLASSIFIED - NON CLASSIFIÉ&amp;1#_x000D_&amp;"Aptos Narrow"&amp;11&amp;K000000&amp;"Calibri,Regular"&amp;16&amp;K000000&amp;D &amp;1&amp;K000000
</oddHeader>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59C8-C9CD-4BE3-BEDE-47D9AC410F3D}">
  <dimension ref="A1:I222"/>
  <sheetViews>
    <sheetView showGridLines="0" zoomScale="90" zoomScaleNormal="90" workbookViewId="0">
      <selection activeCell="C95" sqref="C95"/>
    </sheetView>
  </sheetViews>
  <sheetFormatPr defaultRowHeight="14.45"/>
  <cols>
    <col min="1" max="1" width="13.42578125" bestFit="1" customWidth="1"/>
    <col min="2" max="2" width="13.5703125" style="20" bestFit="1" customWidth="1"/>
    <col min="3" max="3" width="19.7109375" customWidth="1"/>
    <col min="4" max="4" width="20" customWidth="1"/>
    <col min="5" max="5" width="8.5703125" bestFit="1" customWidth="1"/>
    <col min="6" max="6" width="9.28515625" customWidth="1"/>
    <col min="7" max="7" width="15.42578125" bestFit="1" customWidth="1"/>
    <col min="8" max="8" width="9.28515625" customWidth="1"/>
    <col min="9" max="9" width="161.5703125" bestFit="1" customWidth="1"/>
    <col min="10" max="10" width="9.5703125" customWidth="1"/>
    <col min="11" max="11" width="28.42578125" bestFit="1" customWidth="1"/>
    <col min="12" max="12" width="59.85546875" customWidth="1"/>
    <col min="13" max="15" width="8.85546875" customWidth="1"/>
  </cols>
  <sheetData>
    <row r="1" spans="1:9">
      <c r="A1" s="19" t="s">
        <v>936</v>
      </c>
      <c r="B1" s="19" t="s">
        <v>937</v>
      </c>
      <c r="C1" s="19" t="s">
        <v>938</v>
      </c>
      <c r="D1" s="19" t="s">
        <v>939</v>
      </c>
      <c r="E1" s="19" t="s">
        <v>940</v>
      </c>
      <c r="F1" s="19" t="s">
        <v>941</v>
      </c>
      <c r="G1" s="19" t="s">
        <v>9</v>
      </c>
      <c r="H1" s="19" t="s">
        <v>942</v>
      </c>
      <c r="I1" s="19" t="s">
        <v>943</v>
      </c>
    </row>
    <row r="2" spans="1:9">
      <c r="A2" s="33" t="s">
        <v>944</v>
      </c>
      <c r="B2" s="34" t="s">
        <v>945</v>
      </c>
      <c r="C2" s="33" t="s">
        <v>678</v>
      </c>
      <c r="D2" s="33" t="s">
        <v>678</v>
      </c>
      <c r="E2" s="34" t="s">
        <v>946</v>
      </c>
      <c r="F2" s="34"/>
      <c r="G2" s="35"/>
      <c r="H2" s="34"/>
      <c r="I2" s="33" t="s">
        <v>947</v>
      </c>
    </row>
    <row r="3" spans="1:9">
      <c r="A3" s="22" t="s">
        <v>948</v>
      </c>
      <c r="B3" s="36" t="s">
        <v>945</v>
      </c>
      <c r="C3" s="22" t="s">
        <v>949</v>
      </c>
      <c r="D3" s="22" t="s">
        <v>691</v>
      </c>
      <c r="E3" s="36" t="s">
        <v>946</v>
      </c>
      <c r="F3" s="36"/>
      <c r="G3" s="37"/>
      <c r="H3" s="36"/>
      <c r="I3" s="22" t="s">
        <v>950</v>
      </c>
    </row>
    <row r="4" spans="1:9">
      <c r="A4" s="22" t="s">
        <v>948</v>
      </c>
      <c r="B4" s="36" t="s">
        <v>945</v>
      </c>
      <c r="C4" s="22" t="s">
        <v>951</v>
      </c>
      <c r="D4" s="22" t="s">
        <v>107</v>
      </c>
      <c r="E4" s="36" t="s">
        <v>946</v>
      </c>
      <c r="F4" s="36"/>
      <c r="G4" s="37"/>
      <c r="H4" s="36"/>
      <c r="I4" s="22" t="s">
        <v>952</v>
      </c>
    </row>
    <row r="5" spans="1:9">
      <c r="A5" s="24" t="s">
        <v>953</v>
      </c>
      <c r="B5" s="38" t="s">
        <v>945</v>
      </c>
      <c r="C5" s="24" t="s">
        <v>954</v>
      </c>
      <c r="D5" s="24" t="s">
        <v>15</v>
      </c>
      <c r="E5" s="38" t="s">
        <v>946</v>
      </c>
      <c r="F5" s="38"/>
      <c r="G5" s="39"/>
      <c r="H5" s="38"/>
      <c r="I5" s="24" t="s">
        <v>16</v>
      </c>
    </row>
    <row r="6" spans="1:9">
      <c r="A6" s="24" t="s">
        <v>953</v>
      </c>
      <c r="B6" s="38" t="s">
        <v>945</v>
      </c>
      <c r="C6" s="24" t="s">
        <v>955</v>
      </c>
      <c r="D6" s="24" t="s">
        <v>767</v>
      </c>
      <c r="E6" s="38" t="s">
        <v>946</v>
      </c>
      <c r="F6" s="38" t="s">
        <v>956</v>
      </c>
      <c r="G6" s="39"/>
      <c r="H6" s="38" t="s">
        <v>956</v>
      </c>
      <c r="I6" s="24" t="s">
        <v>957</v>
      </c>
    </row>
    <row r="7" spans="1:9">
      <c r="A7" s="24" t="s">
        <v>953</v>
      </c>
      <c r="B7" s="38" t="s">
        <v>945</v>
      </c>
      <c r="C7" s="24" t="s">
        <v>958</v>
      </c>
      <c r="D7" s="24" t="s">
        <v>575</v>
      </c>
      <c r="E7" s="38" t="s">
        <v>946</v>
      </c>
      <c r="F7" s="38"/>
      <c r="G7" s="39"/>
      <c r="H7" s="38"/>
      <c r="I7" s="24" t="s">
        <v>959</v>
      </c>
    </row>
    <row r="8" spans="1:9">
      <c r="A8" s="24" t="s">
        <v>953</v>
      </c>
      <c r="B8" s="38" t="s">
        <v>945</v>
      </c>
      <c r="C8" s="24" t="s">
        <v>960</v>
      </c>
      <c r="D8" s="24" t="s">
        <v>99</v>
      </c>
      <c r="E8" s="38" t="s">
        <v>946</v>
      </c>
      <c r="F8" s="38"/>
      <c r="G8" s="39"/>
      <c r="H8" s="38"/>
      <c r="I8" s="24" t="s">
        <v>961</v>
      </c>
    </row>
    <row r="9" spans="1:9">
      <c r="A9" s="24" t="s">
        <v>953</v>
      </c>
      <c r="B9" s="38" t="s">
        <v>945</v>
      </c>
      <c r="C9" s="24" t="s">
        <v>962</v>
      </c>
      <c r="D9" s="24" t="s">
        <v>858</v>
      </c>
      <c r="E9" s="38" t="s">
        <v>946</v>
      </c>
      <c r="F9" s="38"/>
      <c r="G9" s="39"/>
      <c r="H9" s="38"/>
      <c r="I9" s="24" t="s">
        <v>859</v>
      </c>
    </row>
    <row r="10" spans="1:9">
      <c r="A10" s="24" t="s">
        <v>953</v>
      </c>
      <c r="B10" s="38" t="s">
        <v>945</v>
      </c>
      <c r="C10" s="24" t="s">
        <v>963</v>
      </c>
      <c r="D10" s="24" t="s">
        <v>910</v>
      </c>
      <c r="E10" s="38" t="s">
        <v>946</v>
      </c>
      <c r="F10" s="38" t="s">
        <v>956</v>
      </c>
      <c r="G10" s="39"/>
      <c r="H10" s="38" t="s">
        <v>956</v>
      </c>
      <c r="I10" s="24" t="s">
        <v>964</v>
      </c>
    </row>
    <row r="11" spans="1:9">
      <c r="A11" s="24" t="s">
        <v>953</v>
      </c>
      <c r="B11" s="38" t="s">
        <v>945</v>
      </c>
      <c r="C11" s="24" t="s">
        <v>965</v>
      </c>
      <c r="D11" s="24" t="s">
        <v>208</v>
      </c>
      <c r="E11" s="38" t="s">
        <v>946</v>
      </c>
      <c r="F11" s="38" t="s">
        <v>956</v>
      </c>
      <c r="G11" s="39"/>
      <c r="H11" s="38" t="s">
        <v>956</v>
      </c>
      <c r="I11" s="24" t="s">
        <v>209</v>
      </c>
    </row>
    <row r="12" spans="1:9">
      <c r="A12" s="24" t="s">
        <v>953</v>
      </c>
      <c r="B12" s="38" t="s">
        <v>945</v>
      </c>
      <c r="C12" s="24" t="s">
        <v>966</v>
      </c>
      <c r="D12" s="24" t="s">
        <v>852</v>
      </c>
      <c r="E12" s="38" t="s">
        <v>946</v>
      </c>
      <c r="F12" s="38" t="s">
        <v>956</v>
      </c>
      <c r="G12" s="39"/>
      <c r="H12" s="38" t="s">
        <v>956</v>
      </c>
      <c r="I12" s="24" t="s">
        <v>853</v>
      </c>
    </row>
    <row r="13" spans="1:9">
      <c r="A13" s="24" t="s">
        <v>953</v>
      </c>
      <c r="B13" s="38" t="s">
        <v>945</v>
      </c>
      <c r="C13" s="24" t="s">
        <v>967</v>
      </c>
      <c r="D13" s="24" t="s">
        <v>101</v>
      </c>
      <c r="E13" s="38" t="s">
        <v>946</v>
      </c>
      <c r="F13" s="38"/>
      <c r="G13" s="39"/>
      <c r="H13" s="38"/>
      <c r="I13" s="24" t="s">
        <v>102</v>
      </c>
    </row>
    <row r="14" spans="1:9">
      <c r="A14" s="24" t="s">
        <v>953</v>
      </c>
      <c r="B14" s="38" t="s">
        <v>945</v>
      </c>
      <c r="C14" s="24" t="s">
        <v>968</v>
      </c>
      <c r="D14" s="24" t="s">
        <v>900</v>
      </c>
      <c r="E14" s="38" t="s">
        <v>946</v>
      </c>
      <c r="F14" s="38"/>
      <c r="G14" s="39"/>
      <c r="H14" s="38"/>
      <c r="I14" s="24" t="s">
        <v>901</v>
      </c>
    </row>
    <row r="15" spans="1:9">
      <c r="A15" s="24" t="s">
        <v>953</v>
      </c>
      <c r="B15" s="38" t="s">
        <v>945</v>
      </c>
      <c r="C15" s="24" t="s">
        <v>969</v>
      </c>
      <c r="D15" s="24" t="s">
        <v>687</v>
      </c>
      <c r="E15" s="38" t="s">
        <v>946</v>
      </c>
      <c r="F15" s="38" t="s">
        <v>970</v>
      </c>
      <c r="G15" s="39"/>
      <c r="H15" s="38" t="s">
        <v>970</v>
      </c>
      <c r="I15" s="24" t="s">
        <v>688</v>
      </c>
    </row>
    <row r="16" spans="1:9">
      <c r="A16" s="24" t="s">
        <v>953</v>
      </c>
      <c r="B16" s="38" t="s">
        <v>945</v>
      </c>
      <c r="C16" s="24" t="s">
        <v>971</v>
      </c>
      <c r="D16" s="24" t="s">
        <v>549</v>
      </c>
      <c r="E16" s="38" t="s">
        <v>946</v>
      </c>
      <c r="F16" s="38"/>
      <c r="G16" s="39"/>
      <c r="H16" s="38"/>
      <c r="I16" s="24" t="s">
        <v>550</v>
      </c>
    </row>
    <row r="17" spans="1:9">
      <c r="A17" s="25" t="s">
        <v>972</v>
      </c>
      <c r="B17" s="40" t="s">
        <v>973</v>
      </c>
      <c r="C17" s="25" t="s">
        <v>974</v>
      </c>
      <c r="D17" s="25" t="s">
        <v>124</v>
      </c>
      <c r="E17" s="40" t="s">
        <v>946</v>
      </c>
      <c r="F17" s="40" t="s">
        <v>975</v>
      </c>
      <c r="G17" s="41">
        <v>0.27777999999999997</v>
      </c>
      <c r="H17" s="40" t="s">
        <v>976</v>
      </c>
      <c r="I17" s="25" t="s">
        <v>125</v>
      </c>
    </row>
    <row r="18" spans="1:9">
      <c r="A18" s="25" t="s">
        <v>972</v>
      </c>
      <c r="B18" s="40" t="s">
        <v>973</v>
      </c>
      <c r="C18" s="25" t="s">
        <v>977</v>
      </c>
      <c r="D18" s="25" t="s">
        <v>888</v>
      </c>
      <c r="E18" s="40" t="s">
        <v>946</v>
      </c>
      <c r="F18" s="40" t="s">
        <v>976</v>
      </c>
      <c r="G18" s="41"/>
      <c r="H18" s="40" t="s">
        <v>976</v>
      </c>
      <c r="I18" s="25" t="s">
        <v>889</v>
      </c>
    </row>
    <row r="19" spans="1:9">
      <c r="A19" s="25" t="s">
        <v>972</v>
      </c>
      <c r="B19" s="40" t="s">
        <v>973</v>
      </c>
      <c r="C19" s="25" t="s">
        <v>978</v>
      </c>
      <c r="D19" s="25" t="s">
        <v>886</v>
      </c>
      <c r="E19" s="40" t="s">
        <v>946</v>
      </c>
      <c r="F19" s="40" t="s">
        <v>970</v>
      </c>
      <c r="G19" s="41">
        <v>10.361193999999999</v>
      </c>
      <c r="H19" s="40" t="s">
        <v>976</v>
      </c>
      <c r="I19" s="25" t="s">
        <v>887</v>
      </c>
    </row>
    <row r="20" spans="1:9">
      <c r="A20" s="25" t="s">
        <v>972</v>
      </c>
      <c r="B20" s="40" t="s">
        <v>973</v>
      </c>
      <c r="C20" s="25" t="s">
        <v>979</v>
      </c>
      <c r="D20" s="25" t="s">
        <v>884</v>
      </c>
      <c r="E20" s="40" t="s">
        <v>946</v>
      </c>
      <c r="F20" s="40" t="s">
        <v>980</v>
      </c>
      <c r="G20" s="41">
        <v>1.0200081599999999E-2</v>
      </c>
      <c r="H20" s="40" t="s">
        <v>976</v>
      </c>
      <c r="I20" s="25" t="s">
        <v>885</v>
      </c>
    </row>
    <row r="21" spans="1:9">
      <c r="A21" s="25" t="s">
        <v>972</v>
      </c>
      <c r="B21" s="40" t="s">
        <v>973</v>
      </c>
      <c r="C21" s="25" t="s">
        <v>981</v>
      </c>
      <c r="D21" s="25" t="s">
        <v>882</v>
      </c>
      <c r="E21" s="40" t="s">
        <v>946</v>
      </c>
      <c r="F21" s="40" t="s">
        <v>980</v>
      </c>
      <c r="G21" s="41">
        <v>7.0917233999999996E-3</v>
      </c>
      <c r="H21" s="40" t="s">
        <v>976</v>
      </c>
      <c r="I21" s="25" t="s">
        <v>883</v>
      </c>
    </row>
    <row r="22" spans="1:9">
      <c r="A22" s="25" t="s">
        <v>972</v>
      </c>
      <c r="B22" s="40" t="s">
        <v>973</v>
      </c>
      <c r="C22" s="25" t="s">
        <v>982</v>
      </c>
      <c r="D22" s="25" t="s">
        <v>878</v>
      </c>
      <c r="E22" s="40" t="s">
        <v>946</v>
      </c>
      <c r="F22" s="40" t="s">
        <v>983</v>
      </c>
      <c r="G22" s="41">
        <v>4166.7</v>
      </c>
      <c r="H22" s="40" t="s">
        <v>976</v>
      </c>
      <c r="I22" s="25" t="s">
        <v>879</v>
      </c>
    </row>
    <row r="23" spans="1:9">
      <c r="A23" s="25" t="s">
        <v>972</v>
      </c>
      <c r="B23" s="40" t="s">
        <v>973</v>
      </c>
      <c r="C23" s="25" t="s">
        <v>984</v>
      </c>
      <c r="D23" s="25" t="s">
        <v>918</v>
      </c>
      <c r="E23" s="40" t="s">
        <v>946</v>
      </c>
      <c r="F23" s="40" t="s">
        <v>975</v>
      </c>
      <c r="G23" s="41">
        <v>0.27777999999999997</v>
      </c>
      <c r="H23" s="40" t="s">
        <v>976</v>
      </c>
      <c r="I23" s="25" t="s">
        <v>919</v>
      </c>
    </row>
    <row r="24" spans="1:9">
      <c r="A24" s="25" t="s">
        <v>972</v>
      </c>
      <c r="B24" s="40" t="s">
        <v>973</v>
      </c>
      <c r="C24" s="25" t="s">
        <v>985</v>
      </c>
      <c r="D24" s="25" t="s">
        <v>718</v>
      </c>
      <c r="E24" s="40" t="s">
        <v>946</v>
      </c>
      <c r="F24" s="40" t="s">
        <v>976</v>
      </c>
      <c r="G24" s="41"/>
      <c r="H24" s="40" t="s">
        <v>976</v>
      </c>
      <c r="I24" s="25" t="s">
        <v>719</v>
      </c>
    </row>
    <row r="25" spans="1:9">
      <c r="A25" s="25" t="s">
        <v>972</v>
      </c>
      <c r="B25" s="40" t="s">
        <v>973</v>
      </c>
      <c r="C25" s="25" t="s">
        <v>986</v>
      </c>
      <c r="D25" s="25" t="s">
        <v>716</v>
      </c>
      <c r="E25" s="40" t="s">
        <v>946</v>
      </c>
      <c r="F25" s="40" t="s">
        <v>970</v>
      </c>
      <c r="G25" s="41">
        <v>10.361193999999999</v>
      </c>
      <c r="H25" s="40" t="s">
        <v>976</v>
      </c>
      <c r="I25" s="25" t="s">
        <v>717</v>
      </c>
    </row>
    <row r="26" spans="1:9">
      <c r="A26" s="25" t="s">
        <v>972</v>
      </c>
      <c r="B26" s="40" t="s">
        <v>973</v>
      </c>
      <c r="C26" s="25" t="s">
        <v>987</v>
      </c>
      <c r="D26" s="25" t="s">
        <v>714</v>
      </c>
      <c r="E26" s="40" t="s">
        <v>946</v>
      </c>
      <c r="F26" s="40" t="s">
        <v>980</v>
      </c>
      <c r="G26" s="41">
        <v>1.0200081599999999E-2</v>
      </c>
      <c r="H26" s="40" t="s">
        <v>976</v>
      </c>
      <c r="I26" s="25" t="s">
        <v>715</v>
      </c>
    </row>
    <row r="27" spans="1:9">
      <c r="A27" s="25" t="s">
        <v>972</v>
      </c>
      <c r="B27" s="40" t="s">
        <v>973</v>
      </c>
      <c r="C27" s="25" t="s">
        <v>988</v>
      </c>
      <c r="D27" s="25" t="s">
        <v>712</v>
      </c>
      <c r="E27" s="40" t="s">
        <v>946</v>
      </c>
      <c r="F27" s="40" t="s">
        <v>980</v>
      </c>
      <c r="G27" s="41">
        <v>7.0917233999999996E-3</v>
      </c>
      <c r="H27" s="40" t="s">
        <v>976</v>
      </c>
      <c r="I27" s="25" t="s">
        <v>713</v>
      </c>
    </row>
    <row r="28" spans="1:9">
      <c r="A28" s="25" t="s">
        <v>972</v>
      </c>
      <c r="B28" s="40" t="s">
        <v>973</v>
      </c>
      <c r="C28" s="25" t="s">
        <v>989</v>
      </c>
      <c r="D28" s="25" t="s">
        <v>710</v>
      </c>
      <c r="E28" s="40" t="s">
        <v>946</v>
      </c>
      <c r="F28" s="40" t="s">
        <v>983</v>
      </c>
      <c r="G28" s="41">
        <v>4166.7</v>
      </c>
      <c r="H28" s="40" t="s">
        <v>976</v>
      </c>
      <c r="I28" s="25" t="s">
        <v>711</v>
      </c>
    </row>
    <row r="29" spans="1:9">
      <c r="A29" s="25" t="s">
        <v>972</v>
      </c>
      <c r="B29" s="40" t="s">
        <v>990</v>
      </c>
      <c r="C29" s="25" t="s">
        <v>991</v>
      </c>
      <c r="D29" s="25" t="s">
        <v>124</v>
      </c>
      <c r="E29" s="40" t="s">
        <v>992</v>
      </c>
      <c r="F29" s="40" t="s">
        <v>975</v>
      </c>
      <c r="G29" s="41">
        <v>0.27777999999999997</v>
      </c>
      <c r="H29" s="40" t="s">
        <v>976</v>
      </c>
      <c r="I29" s="25" t="s">
        <v>125</v>
      </c>
    </row>
    <row r="30" spans="1:9">
      <c r="A30" s="25" t="s">
        <v>972</v>
      </c>
      <c r="B30" s="40" t="s">
        <v>990</v>
      </c>
      <c r="C30" s="25" t="s">
        <v>993</v>
      </c>
      <c r="D30" s="25" t="s">
        <v>888</v>
      </c>
      <c r="E30" s="40" t="s">
        <v>992</v>
      </c>
      <c r="F30" s="40" t="s">
        <v>976</v>
      </c>
      <c r="G30" s="41"/>
      <c r="H30" s="40" t="s">
        <v>976</v>
      </c>
      <c r="I30" s="25" t="s">
        <v>889</v>
      </c>
    </row>
    <row r="31" spans="1:9">
      <c r="A31" s="25" t="s">
        <v>972</v>
      </c>
      <c r="B31" s="40" t="s">
        <v>990</v>
      </c>
      <c r="C31" s="25" t="s">
        <v>994</v>
      </c>
      <c r="D31" s="25" t="s">
        <v>886</v>
      </c>
      <c r="E31" s="40" t="s">
        <v>992</v>
      </c>
      <c r="F31" s="40" t="s">
        <v>970</v>
      </c>
      <c r="G31" s="41">
        <v>10.361193999999999</v>
      </c>
      <c r="H31" s="40" t="s">
        <v>976</v>
      </c>
      <c r="I31" s="25" t="s">
        <v>887</v>
      </c>
    </row>
    <row r="32" spans="1:9">
      <c r="A32" s="25" t="s">
        <v>972</v>
      </c>
      <c r="B32" s="40" t="s">
        <v>990</v>
      </c>
      <c r="C32" s="25" t="s">
        <v>995</v>
      </c>
      <c r="D32" s="25" t="s">
        <v>884</v>
      </c>
      <c r="E32" s="40" t="s">
        <v>992</v>
      </c>
      <c r="F32" s="40" t="s">
        <v>980</v>
      </c>
      <c r="G32" s="41">
        <v>1.0200081599999999E-2</v>
      </c>
      <c r="H32" s="40" t="s">
        <v>976</v>
      </c>
      <c r="I32" s="25" t="s">
        <v>885</v>
      </c>
    </row>
    <row r="33" spans="1:9">
      <c r="A33" s="25" t="s">
        <v>972</v>
      </c>
      <c r="B33" s="40" t="s">
        <v>990</v>
      </c>
      <c r="C33" s="25" t="s">
        <v>996</v>
      </c>
      <c r="D33" s="25" t="s">
        <v>882</v>
      </c>
      <c r="E33" s="40" t="s">
        <v>992</v>
      </c>
      <c r="F33" s="40" t="s">
        <v>980</v>
      </c>
      <c r="G33" s="41">
        <v>7.0917233999999996E-3</v>
      </c>
      <c r="H33" s="40" t="s">
        <v>976</v>
      </c>
      <c r="I33" s="25" t="s">
        <v>883</v>
      </c>
    </row>
    <row r="34" spans="1:9">
      <c r="A34" s="25" t="s">
        <v>972</v>
      </c>
      <c r="B34" s="40" t="s">
        <v>990</v>
      </c>
      <c r="C34" s="25" t="s">
        <v>997</v>
      </c>
      <c r="D34" s="25" t="s">
        <v>878</v>
      </c>
      <c r="E34" s="40" t="s">
        <v>992</v>
      </c>
      <c r="F34" s="40" t="s">
        <v>983</v>
      </c>
      <c r="G34" s="41">
        <v>4166.7</v>
      </c>
      <c r="H34" s="40" t="s">
        <v>976</v>
      </c>
      <c r="I34" s="25" t="s">
        <v>879</v>
      </c>
    </row>
    <row r="35" spans="1:9">
      <c r="A35" s="25" t="s">
        <v>972</v>
      </c>
      <c r="B35" s="40" t="s">
        <v>990</v>
      </c>
      <c r="C35" s="25" t="s">
        <v>998</v>
      </c>
      <c r="D35" s="25" t="s">
        <v>918</v>
      </c>
      <c r="E35" s="40" t="s">
        <v>992</v>
      </c>
      <c r="F35" s="40" t="s">
        <v>975</v>
      </c>
      <c r="G35" s="41">
        <v>0.27777999999999997</v>
      </c>
      <c r="H35" s="40" t="s">
        <v>976</v>
      </c>
      <c r="I35" s="25" t="s">
        <v>919</v>
      </c>
    </row>
    <row r="36" spans="1:9">
      <c r="A36" s="25" t="s">
        <v>972</v>
      </c>
      <c r="B36" s="40" t="s">
        <v>990</v>
      </c>
      <c r="C36" s="25" t="s">
        <v>999</v>
      </c>
      <c r="D36" s="25" t="s">
        <v>718</v>
      </c>
      <c r="E36" s="40" t="s">
        <v>992</v>
      </c>
      <c r="F36" s="40" t="s">
        <v>976</v>
      </c>
      <c r="G36" s="41"/>
      <c r="H36" s="40" t="s">
        <v>976</v>
      </c>
      <c r="I36" s="25" t="s">
        <v>719</v>
      </c>
    </row>
    <row r="37" spans="1:9">
      <c r="A37" s="25" t="s">
        <v>972</v>
      </c>
      <c r="B37" s="40" t="s">
        <v>990</v>
      </c>
      <c r="C37" s="25" t="s">
        <v>1000</v>
      </c>
      <c r="D37" s="25" t="s">
        <v>716</v>
      </c>
      <c r="E37" s="40" t="s">
        <v>992</v>
      </c>
      <c r="F37" s="40" t="s">
        <v>970</v>
      </c>
      <c r="G37" s="41">
        <v>10.361193999999999</v>
      </c>
      <c r="H37" s="40" t="s">
        <v>976</v>
      </c>
      <c r="I37" s="25" t="s">
        <v>717</v>
      </c>
    </row>
    <row r="38" spans="1:9">
      <c r="A38" s="25" t="s">
        <v>972</v>
      </c>
      <c r="B38" s="40" t="s">
        <v>990</v>
      </c>
      <c r="C38" s="25" t="s">
        <v>1001</v>
      </c>
      <c r="D38" s="25" t="s">
        <v>714</v>
      </c>
      <c r="E38" s="40" t="s">
        <v>992</v>
      </c>
      <c r="F38" s="40" t="s">
        <v>980</v>
      </c>
      <c r="G38" s="41">
        <v>1.0200081599999999E-2</v>
      </c>
      <c r="H38" s="40" t="s">
        <v>976</v>
      </c>
      <c r="I38" s="25" t="s">
        <v>715</v>
      </c>
    </row>
    <row r="39" spans="1:9">
      <c r="A39" s="25" t="s">
        <v>972</v>
      </c>
      <c r="B39" s="40" t="s">
        <v>990</v>
      </c>
      <c r="C39" s="25" t="s">
        <v>1002</v>
      </c>
      <c r="D39" s="25" t="s">
        <v>712</v>
      </c>
      <c r="E39" s="40" t="s">
        <v>992</v>
      </c>
      <c r="F39" s="40" t="s">
        <v>980</v>
      </c>
      <c r="G39" s="41">
        <v>7.0917233999999996E-3</v>
      </c>
      <c r="H39" s="40" t="s">
        <v>976</v>
      </c>
      <c r="I39" s="25" t="s">
        <v>713</v>
      </c>
    </row>
    <row r="40" spans="1:9">
      <c r="A40" s="25" t="s">
        <v>972</v>
      </c>
      <c r="B40" s="40" t="s">
        <v>990</v>
      </c>
      <c r="C40" s="25" t="s">
        <v>1003</v>
      </c>
      <c r="D40" s="25" t="s">
        <v>710</v>
      </c>
      <c r="E40" s="40" t="s">
        <v>992</v>
      </c>
      <c r="F40" s="40" t="s">
        <v>983</v>
      </c>
      <c r="G40" s="41">
        <v>4166.7</v>
      </c>
      <c r="H40" s="40" t="s">
        <v>976</v>
      </c>
      <c r="I40" s="25" t="s">
        <v>711</v>
      </c>
    </row>
    <row r="41" spans="1:9">
      <c r="A41" s="25" t="s">
        <v>972</v>
      </c>
      <c r="B41" s="40" t="s">
        <v>1004</v>
      </c>
      <c r="C41" s="25" t="s">
        <v>1005</v>
      </c>
      <c r="D41" s="42" t="s">
        <v>316</v>
      </c>
      <c r="E41" s="40" t="s">
        <v>946</v>
      </c>
      <c r="F41" s="40" t="s">
        <v>975</v>
      </c>
      <c r="G41" s="41">
        <v>0.27777999999999997</v>
      </c>
      <c r="H41" s="40" t="s">
        <v>976</v>
      </c>
      <c r="I41" s="25" t="s">
        <v>317</v>
      </c>
    </row>
    <row r="42" spans="1:9">
      <c r="A42" s="25" t="s">
        <v>972</v>
      </c>
      <c r="B42" s="40" t="s">
        <v>1004</v>
      </c>
      <c r="C42" s="25" t="s">
        <v>1006</v>
      </c>
      <c r="D42" s="25" t="s">
        <v>497</v>
      </c>
      <c r="E42" s="40" t="s">
        <v>946</v>
      </c>
      <c r="F42" s="40" t="s">
        <v>976</v>
      </c>
      <c r="G42" s="41"/>
      <c r="H42" s="40" t="s">
        <v>976</v>
      </c>
      <c r="I42" s="25" t="s">
        <v>498</v>
      </c>
    </row>
    <row r="43" spans="1:9">
      <c r="A43" s="25" t="s">
        <v>972</v>
      </c>
      <c r="B43" s="40" t="s">
        <v>1004</v>
      </c>
      <c r="C43" s="25" t="s">
        <v>1007</v>
      </c>
      <c r="D43" s="25" t="s">
        <v>495</v>
      </c>
      <c r="E43" s="40" t="s">
        <v>946</v>
      </c>
      <c r="F43" s="40" t="s">
        <v>970</v>
      </c>
      <c r="G43" s="41">
        <v>10.361193999999999</v>
      </c>
      <c r="H43" s="40" t="s">
        <v>976</v>
      </c>
      <c r="I43" s="25" t="s">
        <v>496</v>
      </c>
    </row>
    <row r="44" spans="1:9">
      <c r="A44" s="25" t="s">
        <v>972</v>
      </c>
      <c r="B44" s="40" t="s">
        <v>1004</v>
      </c>
      <c r="C44" s="25" t="s">
        <v>1008</v>
      </c>
      <c r="D44" s="25" t="s">
        <v>493</v>
      </c>
      <c r="E44" s="40" t="s">
        <v>946</v>
      </c>
      <c r="F44" s="40" t="s">
        <v>980</v>
      </c>
      <c r="G44" s="41">
        <v>1.0200081599999999E-2</v>
      </c>
      <c r="H44" s="40" t="s">
        <v>976</v>
      </c>
      <c r="I44" s="25" t="s">
        <v>494</v>
      </c>
    </row>
    <row r="45" spans="1:9">
      <c r="A45" s="25" t="s">
        <v>972</v>
      </c>
      <c r="B45" s="40" t="s">
        <v>1004</v>
      </c>
      <c r="C45" s="25" t="s">
        <v>1009</v>
      </c>
      <c r="D45" s="25" t="s">
        <v>491</v>
      </c>
      <c r="E45" s="40" t="s">
        <v>946</v>
      </c>
      <c r="F45" s="40" t="s">
        <v>980</v>
      </c>
      <c r="G45" s="41">
        <v>7.0917233999999996E-3</v>
      </c>
      <c r="H45" s="40" t="s">
        <v>976</v>
      </c>
      <c r="I45" s="25" t="s">
        <v>492</v>
      </c>
    </row>
    <row r="46" spans="1:9">
      <c r="A46" s="25" t="s">
        <v>972</v>
      </c>
      <c r="B46" s="40" t="s">
        <v>1004</v>
      </c>
      <c r="C46" s="25" t="s">
        <v>1010</v>
      </c>
      <c r="D46" s="25" t="s">
        <v>489</v>
      </c>
      <c r="E46" s="40" t="s">
        <v>946</v>
      </c>
      <c r="F46" s="40" t="s">
        <v>983</v>
      </c>
      <c r="G46" s="41">
        <v>4166.7</v>
      </c>
      <c r="H46" s="40" t="s">
        <v>976</v>
      </c>
      <c r="I46" s="25" t="s">
        <v>490</v>
      </c>
    </row>
    <row r="47" spans="1:9">
      <c r="A47" s="25" t="s">
        <v>972</v>
      </c>
      <c r="B47" s="40" t="s">
        <v>1004</v>
      </c>
      <c r="C47" s="25" t="s">
        <v>1011</v>
      </c>
      <c r="D47" s="25" t="s">
        <v>517</v>
      </c>
      <c r="E47" s="40" t="s">
        <v>946</v>
      </c>
      <c r="F47" s="40" t="s">
        <v>975</v>
      </c>
      <c r="G47" s="41">
        <v>0.27777999999999997</v>
      </c>
      <c r="H47" s="40" t="s">
        <v>976</v>
      </c>
      <c r="I47" s="25" t="s">
        <v>518</v>
      </c>
    </row>
    <row r="48" spans="1:9">
      <c r="A48" s="25" t="s">
        <v>972</v>
      </c>
      <c r="B48" s="40" t="s">
        <v>1004</v>
      </c>
      <c r="C48" s="25" t="s">
        <v>1012</v>
      </c>
      <c r="D48" s="25" t="s">
        <v>708</v>
      </c>
      <c r="E48" s="40" t="s">
        <v>946</v>
      </c>
      <c r="F48" s="40" t="s">
        <v>976</v>
      </c>
      <c r="G48" s="41"/>
      <c r="H48" s="40" t="s">
        <v>976</v>
      </c>
      <c r="I48" s="25" t="s">
        <v>709</v>
      </c>
    </row>
    <row r="49" spans="1:9">
      <c r="A49" s="25" t="s">
        <v>972</v>
      </c>
      <c r="B49" s="40" t="s">
        <v>1004</v>
      </c>
      <c r="C49" s="25" t="s">
        <v>1013</v>
      </c>
      <c r="D49" s="25" t="s">
        <v>706</v>
      </c>
      <c r="E49" s="40" t="s">
        <v>946</v>
      </c>
      <c r="F49" s="40" t="s">
        <v>970</v>
      </c>
      <c r="G49" s="41">
        <v>10.361193999999999</v>
      </c>
      <c r="H49" s="40" t="s">
        <v>976</v>
      </c>
      <c r="I49" s="25" t="s">
        <v>707</v>
      </c>
    </row>
    <row r="50" spans="1:9">
      <c r="A50" s="25" t="s">
        <v>972</v>
      </c>
      <c r="B50" s="40" t="s">
        <v>1004</v>
      </c>
      <c r="C50" s="25" t="s">
        <v>1014</v>
      </c>
      <c r="D50" s="25" t="s">
        <v>704</v>
      </c>
      <c r="E50" s="40" t="s">
        <v>946</v>
      </c>
      <c r="F50" s="40" t="s">
        <v>980</v>
      </c>
      <c r="G50" s="41">
        <v>1.0200081599999999E-2</v>
      </c>
      <c r="H50" s="40" t="s">
        <v>976</v>
      </c>
      <c r="I50" s="25" t="s">
        <v>705</v>
      </c>
    </row>
    <row r="51" spans="1:9">
      <c r="A51" s="25" t="s">
        <v>972</v>
      </c>
      <c r="B51" s="40" t="s">
        <v>1004</v>
      </c>
      <c r="C51" s="25" t="s">
        <v>1015</v>
      </c>
      <c r="D51" s="25" t="s">
        <v>702</v>
      </c>
      <c r="E51" s="40" t="s">
        <v>946</v>
      </c>
      <c r="F51" s="40" t="s">
        <v>980</v>
      </c>
      <c r="G51" s="41">
        <v>7.0917233999999996E-3</v>
      </c>
      <c r="H51" s="40" t="s">
        <v>976</v>
      </c>
      <c r="I51" s="25" t="s">
        <v>703</v>
      </c>
    </row>
    <row r="52" spans="1:9">
      <c r="A52" s="25" t="s">
        <v>972</v>
      </c>
      <c r="B52" s="40" t="s">
        <v>1004</v>
      </c>
      <c r="C52" s="25" t="s">
        <v>1016</v>
      </c>
      <c r="D52" s="25" t="s">
        <v>700</v>
      </c>
      <c r="E52" s="40" t="s">
        <v>946</v>
      </c>
      <c r="F52" s="40" t="s">
        <v>983</v>
      </c>
      <c r="G52" s="41">
        <v>4166.7</v>
      </c>
      <c r="H52" s="40" t="s">
        <v>976</v>
      </c>
      <c r="I52" s="25" t="s">
        <v>701</v>
      </c>
    </row>
    <row r="53" spans="1:9">
      <c r="A53" s="43" t="s">
        <v>1017</v>
      </c>
      <c r="B53" s="44" t="s">
        <v>973</v>
      </c>
      <c r="C53" s="43" t="s">
        <v>1018</v>
      </c>
      <c r="D53" s="43" t="s">
        <v>928</v>
      </c>
      <c r="E53" s="44" t="s">
        <v>946</v>
      </c>
      <c r="F53" s="44"/>
      <c r="G53" s="45"/>
      <c r="H53" s="44"/>
      <c r="I53" s="43" t="s">
        <v>929</v>
      </c>
    </row>
    <row r="54" spans="1:9">
      <c r="A54" s="43" t="s">
        <v>1017</v>
      </c>
      <c r="B54" s="44" t="s">
        <v>973</v>
      </c>
      <c r="C54" s="43" t="s">
        <v>1019</v>
      </c>
      <c r="D54" s="43" t="s">
        <v>902</v>
      </c>
      <c r="E54" s="44" t="s">
        <v>946</v>
      </c>
      <c r="F54" s="44" t="s">
        <v>1020</v>
      </c>
      <c r="G54" s="45"/>
      <c r="H54" s="44" t="s">
        <v>1020</v>
      </c>
      <c r="I54" s="43" t="s">
        <v>903</v>
      </c>
    </row>
    <row r="55" spans="1:9">
      <c r="A55" s="43" t="s">
        <v>1017</v>
      </c>
      <c r="B55" s="44" t="s">
        <v>973</v>
      </c>
      <c r="C55" s="43" t="s">
        <v>1021</v>
      </c>
      <c r="D55" s="43" t="s">
        <v>756</v>
      </c>
      <c r="E55" s="44" t="s">
        <v>946</v>
      </c>
      <c r="F55" s="44" t="s">
        <v>1020</v>
      </c>
      <c r="G55" s="45"/>
      <c r="H55" s="44" t="s">
        <v>1020</v>
      </c>
      <c r="I55" s="43" t="s">
        <v>757</v>
      </c>
    </row>
    <row r="56" spans="1:9">
      <c r="A56" s="43" t="s">
        <v>1017</v>
      </c>
      <c r="B56" s="44" t="s">
        <v>973</v>
      </c>
      <c r="C56" s="43" t="s">
        <v>1022</v>
      </c>
      <c r="D56" s="43" t="s">
        <v>615</v>
      </c>
      <c r="E56" s="44" t="s">
        <v>946</v>
      </c>
      <c r="F56" s="44" t="s">
        <v>1020</v>
      </c>
      <c r="G56" s="45"/>
      <c r="H56" s="44" t="s">
        <v>1020</v>
      </c>
      <c r="I56" s="43" t="s">
        <v>616</v>
      </c>
    </row>
    <row r="57" spans="1:9">
      <c r="A57" s="43" t="s">
        <v>1017</v>
      </c>
      <c r="B57" s="44" t="s">
        <v>973</v>
      </c>
      <c r="C57" s="43" t="s">
        <v>1023</v>
      </c>
      <c r="D57" s="43" t="s">
        <v>775</v>
      </c>
      <c r="E57" s="44" t="s">
        <v>946</v>
      </c>
      <c r="F57" s="44" t="s">
        <v>1020</v>
      </c>
      <c r="G57" s="45"/>
      <c r="H57" s="44" t="s">
        <v>1020</v>
      </c>
      <c r="I57" s="43" t="s">
        <v>776</v>
      </c>
    </row>
    <row r="58" spans="1:9">
      <c r="A58" s="43" t="s">
        <v>1017</v>
      </c>
      <c r="B58" s="44" t="s">
        <v>973</v>
      </c>
      <c r="C58" s="43" t="s">
        <v>1024</v>
      </c>
      <c r="D58" s="43" t="s">
        <v>670</v>
      </c>
      <c r="E58" s="44" t="s">
        <v>946</v>
      </c>
      <c r="F58" s="44"/>
      <c r="G58" s="45"/>
      <c r="H58" s="44"/>
      <c r="I58" s="43" t="s">
        <v>671</v>
      </c>
    </row>
    <row r="59" spans="1:9">
      <c r="A59" s="43" t="s">
        <v>1017</v>
      </c>
      <c r="B59" s="44" t="s">
        <v>973</v>
      </c>
      <c r="C59" s="43" t="s">
        <v>1025</v>
      </c>
      <c r="D59" s="43" t="s">
        <v>28</v>
      </c>
      <c r="E59" s="44" t="s">
        <v>946</v>
      </c>
      <c r="F59" s="44"/>
      <c r="G59" s="45"/>
      <c r="H59" s="44"/>
      <c r="I59" s="43" t="s">
        <v>29</v>
      </c>
    </row>
    <row r="60" spans="1:9">
      <c r="A60" s="43" t="s">
        <v>1017</v>
      </c>
      <c r="B60" s="44" t="s">
        <v>973</v>
      </c>
      <c r="C60" s="43" t="s">
        <v>1026</v>
      </c>
      <c r="D60" s="43" t="s">
        <v>168</v>
      </c>
      <c r="E60" s="44" t="s">
        <v>946</v>
      </c>
      <c r="F60" s="44" t="s">
        <v>1027</v>
      </c>
      <c r="G60" s="45"/>
      <c r="H60" s="44" t="s">
        <v>1027</v>
      </c>
      <c r="I60" s="43" t="s">
        <v>169</v>
      </c>
    </row>
    <row r="61" spans="1:9">
      <c r="A61" s="43" t="s">
        <v>1017</v>
      </c>
      <c r="B61" s="44" t="s">
        <v>973</v>
      </c>
      <c r="C61" s="43" t="s">
        <v>1028</v>
      </c>
      <c r="D61" s="43" t="s">
        <v>170</v>
      </c>
      <c r="E61" s="44" t="s">
        <v>946</v>
      </c>
      <c r="F61" s="44" t="s">
        <v>1027</v>
      </c>
      <c r="G61" s="45"/>
      <c r="H61" s="44" t="s">
        <v>1027</v>
      </c>
      <c r="I61" s="43" t="s">
        <v>171</v>
      </c>
    </row>
    <row r="62" spans="1:9">
      <c r="A62" s="43" t="s">
        <v>1017</v>
      </c>
      <c r="B62" s="44" t="s">
        <v>973</v>
      </c>
      <c r="C62" s="43" t="s">
        <v>1029</v>
      </c>
      <c r="D62" s="43" t="s">
        <v>116</v>
      </c>
      <c r="E62" s="44" t="s">
        <v>946</v>
      </c>
      <c r="F62" s="44"/>
      <c r="G62" s="45"/>
      <c r="H62" s="44"/>
      <c r="I62" s="43" t="s">
        <v>117</v>
      </c>
    </row>
    <row r="63" spans="1:9">
      <c r="A63" s="43" t="s">
        <v>1017</v>
      </c>
      <c r="B63" s="44" t="s">
        <v>973</v>
      </c>
      <c r="C63" s="43" t="s">
        <v>1030</v>
      </c>
      <c r="D63" s="43" t="s">
        <v>569</v>
      </c>
      <c r="E63" s="44" t="s">
        <v>946</v>
      </c>
      <c r="F63" s="44"/>
      <c r="G63" s="45"/>
      <c r="H63" s="44"/>
      <c r="I63" s="43" t="s">
        <v>570</v>
      </c>
    </row>
    <row r="64" spans="1:9">
      <c r="A64" s="43" t="s">
        <v>1017</v>
      </c>
      <c r="B64" s="44" t="s">
        <v>973</v>
      </c>
      <c r="C64" s="43" t="s">
        <v>1031</v>
      </c>
      <c r="D64" s="43" t="s">
        <v>166</v>
      </c>
      <c r="E64" s="44" t="s">
        <v>946</v>
      </c>
      <c r="F64" s="44" t="s">
        <v>1032</v>
      </c>
      <c r="G64" s="45"/>
      <c r="H64" s="44" t="s">
        <v>1032</v>
      </c>
      <c r="I64" s="43" t="s">
        <v>167</v>
      </c>
    </row>
    <row r="65" spans="1:9">
      <c r="A65" s="43" t="s">
        <v>1017</v>
      </c>
      <c r="B65" s="44" t="s">
        <v>973</v>
      </c>
      <c r="C65" s="43" t="s">
        <v>1033</v>
      </c>
      <c r="D65" s="43" t="s">
        <v>164</v>
      </c>
      <c r="E65" s="44" t="s">
        <v>946</v>
      </c>
      <c r="F65" s="44" t="s">
        <v>1032</v>
      </c>
      <c r="G65" s="45"/>
      <c r="H65" s="44" t="s">
        <v>1032</v>
      </c>
      <c r="I65" s="43" t="s">
        <v>165</v>
      </c>
    </row>
    <row r="66" spans="1:9">
      <c r="A66" s="43" t="s">
        <v>1017</v>
      </c>
      <c r="B66" s="44" t="s">
        <v>973</v>
      </c>
      <c r="C66" s="43" t="s">
        <v>1034</v>
      </c>
      <c r="D66" s="43" t="s">
        <v>118</v>
      </c>
      <c r="E66" s="44" t="s">
        <v>946</v>
      </c>
      <c r="F66" s="44"/>
      <c r="G66" s="45"/>
      <c r="H66" s="44"/>
      <c r="I66" s="43" t="s">
        <v>119</v>
      </c>
    </row>
    <row r="67" spans="1:9">
      <c r="A67" s="43" t="s">
        <v>1017</v>
      </c>
      <c r="B67" s="44" t="s">
        <v>973</v>
      </c>
      <c r="C67" s="43" t="s">
        <v>1035</v>
      </c>
      <c r="D67" s="43" t="s">
        <v>571</v>
      </c>
      <c r="E67" s="44" t="s">
        <v>946</v>
      </c>
      <c r="F67" s="44"/>
      <c r="G67" s="45"/>
      <c r="H67" s="44"/>
      <c r="I67" s="43" t="s">
        <v>572</v>
      </c>
    </row>
    <row r="68" spans="1:9">
      <c r="A68" s="43" t="s">
        <v>1017</v>
      </c>
      <c r="B68" s="44" t="s">
        <v>990</v>
      </c>
      <c r="C68" s="43" t="s">
        <v>1036</v>
      </c>
      <c r="D68" s="43" t="s">
        <v>928</v>
      </c>
      <c r="E68" s="44" t="s">
        <v>992</v>
      </c>
      <c r="F68" s="44"/>
      <c r="G68" s="45"/>
      <c r="H68" s="44"/>
      <c r="I68" s="43" t="s">
        <v>929</v>
      </c>
    </row>
    <row r="69" spans="1:9">
      <c r="A69" s="43" t="s">
        <v>1017</v>
      </c>
      <c r="B69" s="44" t="s">
        <v>990</v>
      </c>
      <c r="C69" s="43" t="s">
        <v>1037</v>
      </c>
      <c r="D69" s="43" t="s">
        <v>902</v>
      </c>
      <c r="E69" s="44" t="s">
        <v>992</v>
      </c>
      <c r="F69" s="44" t="s">
        <v>1020</v>
      </c>
      <c r="G69" s="45"/>
      <c r="H69" s="44" t="s">
        <v>1020</v>
      </c>
      <c r="I69" s="43" t="s">
        <v>903</v>
      </c>
    </row>
    <row r="70" spans="1:9">
      <c r="A70" s="43" t="s">
        <v>1017</v>
      </c>
      <c r="B70" s="44" t="s">
        <v>990</v>
      </c>
      <c r="C70" s="43" t="s">
        <v>1038</v>
      </c>
      <c r="D70" s="43" t="s">
        <v>756</v>
      </c>
      <c r="E70" s="44" t="s">
        <v>992</v>
      </c>
      <c r="F70" s="44" t="s">
        <v>1020</v>
      </c>
      <c r="G70" s="45"/>
      <c r="H70" s="44" t="s">
        <v>1020</v>
      </c>
      <c r="I70" s="43" t="s">
        <v>757</v>
      </c>
    </row>
    <row r="71" spans="1:9">
      <c r="A71" s="43" t="s">
        <v>1017</v>
      </c>
      <c r="B71" s="44" t="s">
        <v>990</v>
      </c>
      <c r="C71" s="43" t="s">
        <v>1039</v>
      </c>
      <c r="D71" s="43" t="s">
        <v>615</v>
      </c>
      <c r="E71" s="44" t="s">
        <v>992</v>
      </c>
      <c r="F71" s="44" t="s">
        <v>1020</v>
      </c>
      <c r="G71" s="45"/>
      <c r="H71" s="44" t="s">
        <v>1020</v>
      </c>
      <c r="I71" s="43" t="s">
        <v>616</v>
      </c>
    </row>
    <row r="72" spans="1:9">
      <c r="A72" s="43" t="s">
        <v>1017</v>
      </c>
      <c r="B72" s="44" t="s">
        <v>990</v>
      </c>
      <c r="C72" s="43" t="s">
        <v>1040</v>
      </c>
      <c r="D72" s="43" t="s">
        <v>775</v>
      </c>
      <c r="E72" s="44" t="s">
        <v>992</v>
      </c>
      <c r="F72" s="44" t="s">
        <v>1020</v>
      </c>
      <c r="G72" s="45"/>
      <c r="H72" s="44" t="s">
        <v>1020</v>
      </c>
      <c r="I72" s="43" t="s">
        <v>776</v>
      </c>
    </row>
    <row r="73" spans="1:9">
      <c r="A73" s="43" t="s">
        <v>1017</v>
      </c>
      <c r="B73" s="44" t="s">
        <v>990</v>
      </c>
      <c r="C73" s="43" t="s">
        <v>1041</v>
      </c>
      <c r="D73" s="43" t="s">
        <v>670</v>
      </c>
      <c r="E73" s="44" t="s">
        <v>992</v>
      </c>
      <c r="F73" s="44"/>
      <c r="G73" s="45"/>
      <c r="H73" s="44"/>
      <c r="I73" s="43" t="s">
        <v>671</v>
      </c>
    </row>
    <row r="74" spans="1:9">
      <c r="A74" s="43" t="s">
        <v>1017</v>
      </c>
      <c r="B74" s="44" t="s">
        <v>990</v>
      </c>
      <c r="C74" s="43" t="s">
        <v>1042</v>
      </c>
      <c r="D74" s="43" t="s">
        <v>28</v>
      </c>
      <c r="E74" s="44" t="s">
        <v>992</v>
      </c>
      <c r="F74" s="44"/>
      <c r="G74" s="45"/>
      <c r="H74" s="44"/>
      <c r="I74" s="43" t="s">
        <v>29</v>
      </c>
    </row>
    <row r="75" spans="1:9">
      <c r="A75" s="43" t="s">
        <v>1017</v>
      </c>
      <c r="B75" s="44" t="s">
        <v>990</v>
      </c>
      <c r="C75" s="43" t="s">
        <v>1043</v>
      </c>
      <c r="D75" s="43" t="s">
        <v>168</v>
      </c>
      <c r="E75" s="44" t="s">
        <v>992</v>
      </c>
      <c r="F75" s="44" t="s">
        <v>1027</v>
      </c>
      <c r="G75" s="45"/>
      <c r="H75" s="44" t="s">
        <v>1027</v>
      </c>
      <c r="I75" s="43" t="s">
        <v>169</v>
      </c>
    </row>
    <row r="76" spans="1:9">
      <c r="A76" s="43" t="s">
        <v>1017</v>
      </c>
      <c r="B76" s="44" t="s">
        <v>990</v>
      </c>
      <c r="C76" s="43" t="s">
        <v>1044</v>
      </c>
      <c r="D76" s="43" t="s">
        <v>170</v>
      </c>
      <c r="E76" s="44" t="s">
        <v>992</v>
      </c>
      <c r="F76" s="44" t="s">
        <v>1027</v>
      </c>
      <c r="G76" s="45"/>
      <c r="H76" s="44" t="s">
        <v>1027</v>
      </c>
      <c r="I76" s="43" t="s">
        <v>171</v>
      </c>
    </row>
    <row r="77" spans="1:9">
      <c r="A77" s="43" t="s">
        <v>1017</v>
      </c>
      <c r="B77" s="44" t="s">
        <v>990</v>
      </c>
      <c r="C77" s="43" t="s">
        <v>1045</v>
      </c>
      <c r="D77" s="43" t="s">
        <v>116</v>
      </c>
      <c r="E77" s="44" t="s">
        <v>992</v>
      </c>
      <c r="F77" s="44"/>
      <c r="G77" s="45"/>
      <c r="H77" s="44"/>
      <c r="I77" s="43" t="s">
        <v>117</v>
      </c>
    </row>
    <row r="78" spans="1:9">
      <c r="A78" s="43" t="s">
        <v>1017</v>
      </c>
      <c r="B78" s="44" t="s">
        <v>990</v>
      </c>
      <c r="C78" s="43" t="s">
        <v>1046</v>
      </c>
      <c r="D78" s="43" t="s">
        <v>569</v>
      </c>
      <c r="E78" s="44" t="s">
        <v>992</v>
      </c>
      <c r="F78" s="44"/>
      <c r="G78" s="45"/>
      <c r="H78" s="44"/>
      <c r="I78" s="43" t="s">
        <v>570</v>
      </c>
    </row>
    <row r="79" spans="1:9">
      <c r="A79" s="43" t="s">
        <v>1017</v>
      </c>
      <c r="B79" s="44" t="s">
        <v>990</v>
      </c>
      <c r="C79" s="43" t="s">
        <v>1047</v>
      </c>
      <c r="D79" s="43" t="s">
        <v>166</v>
      </c>
      <c r="E79" s="44" t="s">
        <v>992</v>
      </c>
      <c r="F79" s="44" t="s">
        <v>1032</v>
      </c>
      <c r="G79" s="45"/>
      <c r="H79" s="44" t="s">
        <v>1032</v>
      </c>
      <c r="I79" s="43" t="s">
        <v>167</v>
      </c>
    </row>
    <row r="80" spans="1:9">
      <c r="A80" s="43" t="s">
        <v>1017</v>
      </c>
      <c r="B80" s="44" t="s">
        <v>990</v>
      </c>
      <c r="C80" s="43" t="s">
        <v>1048</v>
      </c>
      <c r="D80" s="43" t="s">
        <v>164</v>
      </c>
      <c r="E80" s="44" t="s">
        <v>992</v>
      </c>
      <c r="F80" s="44" t="s">
        <v>1032</v>
      </c>
      <c r="G80" s="45"/>
      <c r="H80" s="44" t="s">
        <v>1032</v>
      </c>
      <c r="I80" s="43" t="s">
        <v>165</v>
      </c>
    </row>
    <row r="81" spans="1:9">
      <c r="A81" s="43" t="s">
        <v>1017</v>
      </c>
      <c r="B81" s="44" t="s">
        <v>990</v>
      </c>
      <c r="C81" s="43" t="s">
        <v>1049</v>
      </c>
      <c r="D81" s="43" t="s">
        <v>118</v>
      </c>
      <c r="E81" s="44" t="s">
        <v>992</v>
      </c>
      <c r="F81" s="44"/>
      <c r="G81" s="45"/>
      <c r="H81" s="44"/>
      <c r="I81" s="43" t="s">
        <v>119</v>
      </c>
    </row>
    <row r="82" spans="1:9">
      <c r="A82" s="43" t="s">
        <v>1017</v>
      </c>
      <c r="B82" s="44" t="s">
        <v>990</v>
      </c>
      <c r="C82" s="43" t="s">
        <v>1050</v>
      </c>
      <c r="D82" s="43" t="s">
        <v>571</v>
      </c>
      <c r="E82" s="44" t="s">
        <v>992</v>
      </c>
      <c r="F82" s="44"/>
      <c r="G82" s="45"/>
      <c r="H82" s="44"/>
      <c r="I82" s="43" t="s">
        <v>572</v>
      </c>
    </row>
    <row r="83" spans="1:9">
      <c r="A83" s="43" t="s">
        <v>1017</v>
      </c>
      <c r="B83" s="44" t="s">
        <v>1004</v>
      </c>
      <c r="C83" s="43" t="s">
        <v>1051</v>
      </c>
      <c r="D83" s="43" t="s">
        <v>525</v>
      </c>
      <c r="E83" s="44" t="s">
        <v>946</v>
      </c>
      <c r="F83" s="44"/>
      <c r="G83" s="45"/>
      <c r="H83" s="44"/>
      <c r="I83" s="43" t="s">
        <v>526</v>
      </c>
    </row>
    <row r="84" spans="1:9">
      <c r="A84" s="43" t="s">
        <v>1017</v>
      </c>
      <c r="B84" s="44" t="s">
        <v>1004</v>
      </c>
      <c r="C84" s="43" t="s">
        <v>1052</v>
      </c>
      <c r="D84" s="43" t="s">
        <v>507</v>
      </c>
      <c r="E84" s="44" t="s">
        <v>946</v>
      </c>
      <c r="F84" s="44" t="s">
        <v>1020</v>
      </c>
      <c r="G84" s="45"/>
      <c r="H84" s="44" t="s">
        <v>1020</v>
      </c>
      <c r="I84" s="43" t="s">
        <v>508</v>
      </c>
    </row>
    <row r="85" spans="1:9">
      <c r="A85" s="43" t="s">
        <v>1017</v>
      </c>
      <c r="B85" s="44" t="s">
        <v>1004</v>
      </c>
      <c r="C85" s="43" t="s">
        <v>1053</v>
      </c>
      <c r="D85" s="43" t="s">
        <v>430</v>
      </c>
      <c r="E85" s="44" t="s">
        <v>946</v>
      </c>
      <c r="F85" s="44" t="s">
        <v>1020</v>
      </c>
      <c r="G85" s="45"/>
      <c r="H85" s="44" t="s">
        <v>1020</v>
      </c>
      <c r="I85" s="43" t="s">
        <v>431</v>
      </c>
    </row>
    <row r="86" spans="1:9">
      <c r="A86" s="43" t="s">
        <v>1017</v>
      </c>
      <c r="B86" s="44" t="s">
        <v>1004</v>
      </c>
      <c r="C86" s="43" t="s">
        <v>1054</v>
      </c>
      <c r="D86" s="43" t="s">
        <v>302</v>
      </c>
      <c r="E86" s="44" t="s">
        <v>946</v>
      </c>
      <c r="F86" s="44" t="s">
        <v>1020</v>
      </c>
      <c r="G86" s="45"/>
      <c r="H86" s="44" t="s">
        <v>1020</v>
      </c>
      <c r="I86" s="43" t="s">
        <v>303</v>
      </c>
    </row>
    <row r="87" spans="1:9">
      <c r="A87" s="43" t="s">
        <v>1017</v>
      </c>
      <c r="B87" s="44" t="s">
        <v>1004</v>
      </c>
      <c r="C87" s="43" t="s">
        <v>1055</v>
      </c>
      <c r="D87" s="43" t="s">
        <v>432</v>
      </c>
      <c r="E87" s="44" t="s">
        <v>946</v>
      </c>
      <c r="F87" s="44" t="s">
        <v>1020</v>
      </c>
      <c r="G87" s="45"/>
      <c r="H87" s="44" t="s">
        <v>1020</v>
      </c>
      <c r="I87" s="43" t="s">
        <v>433</v>
      </c>
    </row>
    <row r="88" spans="1:9">
      <c r="A88" s="43" t="s">
        <v>1017</v>
      </c>
      <c r="B88" s="44" t="s">
        <v>1004</v>
      </c>
      <c r="C88" s="43" t="s">
        <v>1056</v>
      </c>
      <c r="D88" s="43" t="s">
        <v>30</v>
      </c>
      <c r="E88" s="44" t="s">
        <v>946</v>
      </c>
      <c r="F88" s="44"/>
      <c r="G88" s="45"/>
      <c r="H88" s="44"/>
      <c r="I88" s="43" t="s">
        <v>31</v>
      </c>
    </row>
    <row r="89" spans="1:9">
      <c r="A89" s="43" t="s">
        <v>1017</v>
      </c>
      <c r="B89" s="44" t="s">
        <v>1004</v>
      </c>
      <c r="C89" s="43" t="s">
        <v>1057</v>
      </c>
      <c r="D89" s="43" t="s">
        <v>394</v>
      </c>
      <c r="E89" s="44" t="s">
        <v>946</v>
      </c>
      <c r="F89" s="44" t="s">
        <v>1027</v>
      </c>
      <c r="G89" s="45"/>
      <c r="H89" s="44" t="s">
        <v>1027</v>
      </c>
      <c r="I89" s="43" t="s">
        <v>395</v>
      </c>
    </row>
    <row r="90" spans="1:9">
      <c r="A90" s="43" t="s">
        <v>1017</v>
      </c>
      <c r="B90" s="44" t="s">
        <v>1004</v>
      </c>
      <c r="C90" s="43" t="s">
        <v>1058</v>
      </c>
      <c r="D90" s="43" t="s">
        <v>392</v>
      </c>
      <c r="E90" s="44" t="s">
        <v>946</v>
      </c>
      <c r="F90" s="44" t="s">
        <v>1027</v>
      </c>
      <c r="G90" s="45"/>
      <c r="H90" s="44" t="s">
        <v>1027</v>
      </c>
      <c r="I90" s="43" t="s">
        <v>393</v>
      </c>
    </row>
    <row r="91" spans="1:9">
      <c r="A91" s="43" t="s">
        <v>1017</v>
      </c>
      <c r="B91" s="44" t="s">
        <v>1004</v>
      </c>
      <c r="C91" s="43" t="s">
        <v>1059</v>
      </c>
      <c r="D91" s="43" t="s">
        <v>402</v>
      </c>
      <c r="E91" s="44" t="s">
        <v>946</v>
      </c>
      <c r="F91" s="44"/>
      <c r="G91" s="45"/>
      <c r="H91" s="44"/>
      <c r="I91" s="43" t="s">
        <v>403</v>
      </c>
    </row>
    <row r="92" spans="1:9">
      <c r="A92" s="43" t="s">
        <v>1017</v>
      </c>
      <c r="B92" s="44" t="s">
        <v>1004</v>
      </c>
      <c r="C92" s="43" t="s">
        <v>1060</v>
      </c>
      <c r="D92" s="43" t="s">
        <v>388</v>
      </c>
      <c r="E92" s="44" t="s">
        <v>946</v>
      </c>
      <c r="F92" s="44" t="s">
        <v>1032</v>
      </c>
      <c r="G92" s="45"/>
      <c r="H92" s="44" t="s">
        <v>1032</v>
      </c>
      <c r="I92" s="43" t="s">
        <v>389</v>
      </c>
    </row>
    <row r="93" spans="1:9">
      <c r="A93" s="43" t="s">
        <v>1017</v>
      </c>
      <c r="B93" s="44" t="s">
        <v>1004</v>
      </c>
      <c r="C93" s="43" t="s">
        <v>1061</v>
      </c>
      <c r="D93" s="43" t="s">
        <v>390</v>
      </c>
      <c r="E93" s="44" t="s">
        <v>946</v>
      </c>
      <c r="F93" s="44" t="s">
        <v>1032</v>
      </c>
      <c r="G93" s="45"/>
      <c r="H93" s="44" t="s">
        <v>1032</v>
      </c>
      <c r="I93" s="43" t="s">
        <v>391</v>
      </c>
    </row>
    <row r="94" spans="1:9">
      <c r="A94" s="43" t="s">
        <v>1017</v>
      </c>
      <c r="B94" s="44" t="s">
        <v>1004</v>
      </c>
      <c r="C94" s="43" t="s">
        <v>1062</v>
      </c>
      <c r="D94" s="43" t="s">
        <v>404</v>
      </c>
      <c r="E94" s="44" t="s">
        <v>946</v>
      </c>
      <c r="F94" s="44"/>
      <c r="G94" s="45"/>
      <c r="H94" s="44"/>
      <c r="I94" s="43" t="s">
        <v>405</v>
      </c>
    </row>
    <row r="95" spans="1:9">
      <c r="A95" s="33" t="s">
        <v>1063</v>
      </c>
      <c r="B95" s="34" t="s">
        <v>1004</v>
      </c>
      <c r="C95" s="33" t="s">
        <v>1064</v>
      </c>
      <c r="D95" s="33" t="s">
        <v>162</v>
      </c>
      <c r="E95" s="34" t="s">
        <v>946</v>
      </c>
      <c r="F95" s="34"/>
      <c r="G95" s="35"/>
      <c r="H95" s="34"/>
      <c r="I95" s="33" t="s">
        <v>163</v>
      </c>
    </row>
    <row r="96" spans="1:9">
      <c r="A96" s="33" t="s">
        <v>1063</v>
      </c>
      <c r="B96" s="34" t="s">
        <v>1004</v>
      </c>
      <c r="C96" s="33" t="s">
        <v>1065</v>
      </c>
      <c r="D96" s="33" t="s">
        <v>160</v>
      </c>
      <c r="E96" s="34" t="s">
        <v>946</v>
      </c>
      <c r="F96" s="34"/>
      <c r="G96" s="35"/>
      <c r="H96" s="34"/>
      <c r="I96" s="33" t="s">
        <v>161</v>
      </c>
    </row>
    <row r="97" spans="1:9">
      <c r="A97" s="33" t="s">
        <v>1063</v>
      </c>
      <c r="B97" s="34" t="s">
        <v>1004</v>
      </c>
      <c r="C97" s="33" t="s">
        <v>1066</v>
      </c>
      <c r="D97" s="33" t="s">
        <v>158</v>
      </c>
      <c r="E97" s="34" t="s">
        <v>946</v>
      </c>
      <c r="F97" s="34"/>
      <c r="G97" s="35"/>
      <c r="H97" s="34"/>
      <c r="I97" s="33" t="s">
        <v>159</v>
      </c>
    </row>
    <row r="98" spans="1:9">
      <c r="A98" s="33" t="s">
        <v>1063</v>
      </c>
      <c r="B98" s="34" t="s">
        <v>1004</v>
      </c>
      <c r="C98" s="33" t="s">
        <v>1067</v>
      </c>
      <c r="D98" s="33" t="s">
        <v>156</v>
      </c>
      <c r="E98" s="34" t="s">
        <v>946</v>
      </c>
      <c r="F98" s="34"/>
      <c r="G98" s="35"/>
      <c r="H98" s="34"/>
      <c r="I98" s="33" t="s">
        <v>157</v>
      </c>
    </row>
    <row r="99" spans="1:9">
      <c r="A99" s="33" t="s">
        <v>1063</v>
      </c>
      <c r="B99" s="34" t="s">
        <v>1004</v>
      </c>
      <c r="C99" s="33" t="s">
        <v>1068</v>
      </c>
      <c r="D99" s="33" t="s">
        <v>154</v>
      </c>
      <c r="E99" s="34" t="s">
        <v>946</v>
      </c>
      <c r="F99" s="34"/>
      <c r="G99" s="35"/>
      <c r="H99" s="34"/>
      <c r="I99" s="33" t="s">
        <v>155</v>
      </c>
    </row>
    <row r="100" spans="1:9">
      <c r="A100" s="33" t="s">
        <v>1063</v>
      </c>
      <c r="B100" s="34" t="s">
        <v>1004</v>
      </c>
      <c r="C100" s="33" t="s">
        <v>1069</v>
      </c>
      <c r="D100" s="33" t="s">
        <v>152</v>
      </c>
      <c r="E100" s="34" t="s">
        <v>946</v>
      </c>
      <c r="F100" s="34"/>
      <c r="G100" s="35"/>
      <c r="H100" s="34"/>
      <c r="I100" s="33" t="s">
        <v>153</v>
      </c>
    </row>
    <row r="101" spans="1:9">
      <c r="A101" s="33" t="s">
        <v>1063</v>
      </c>
      <c r="B101" s="34" t="s">
        <v>1004</v>
      </c>
      <c r="C101" s="33" t="s">
        <v>1070</v>
      </c>
      <c r="D101" s="33" t="s">
        <v>150</v>
      </c>
      <c r="E101" s="34" t="s">
        <v>946</v>
      </c>
      <c r="F101" s="34"/>
      <c r="G101" s="35"/>
      <c r="H101" s="34"/>
      <c r="I101" s="33" t="s">
        <v>151</v>
      </c>
    </row>
    <row r="102" spans="1:9">
      <c r="A102" s="33" t="s">
        <v>1063</v>
      </c>
      <c r="B102" s="34" t="s">
        <v>1004</v>
      </c>
      <c r="C102" s="33" t="s">
        <v>1071</v>
      </c>
      <c r="D102" s="33" t="s">
        <v>148</v>
      </c>
      <c r="E102" s="34" t="s">
        <v>946</v>
      </c>
      <c r="F102" s="34"/>
      <c r="G102" s="35"/>
      <c r="H102" s="34"/>
      <c r="I102" s="33" t="s">
        <v>149</v>
      </c>
    </row>
    <row r="103" spans="1:9">
      <c r="A103" s="33" t="s">
        <v>1063</v>
      </c>
      <c r="B103" s="34" t="s">
        <v>1004</v>
      </c>
      <c r="C103" s="33" t="s">
        <v>1072</v>
      </c>
      <c r="D103" s="33" t="s">
        <v>142</v>
      </c>
      <c r="E103" s="34" t="s">
        <v>946</v>
      </c>
      <c r="F103" s="34"/>
      <c r="G103" s="35"/>
      <c r="H103" s="34"/>
      <c r="I103" s="33" t="s">
        <v>143</v>
      </c>
    </row>
    <row r="104" spans="1:9">
      <c r="A104" s="33" t="s">
        <v>1063</v>
      </c>
      <c r="B104" s="34" t="s">
        <v>1004</v>
      </c>
      <c r="C104" s="33" t="s">
        <v>1073</v>
      </c>
      <c r="D104" s="33" t="s">
        <v>146</v>
      </c>
      <c r="E104" s="34" t="s">
        <v>946</v>
      </c>
      <c r="F104" s="34"/>
      <c r="G104" s="35"/>
      <c r="H104" s="34"/>
      <c r="I104" s="33" t="s">
        <v>147</v>
      </c>
    </row>
    <row r="105" spans="1:9">
      <c r="A105" s="33" t="s">
        <v>1063</v>
      </c>
      <c r="B105" s="34" t="s">
        <v>1004</v>
      </c>
      <c r="C105" s="33" t="s">
        <v>1074</v>
      </c>
      <c r="D105" s="33" t="s">
        <v>144</v>
      </c>
      <c r="E105" s="34" t="s">
        <v>946</v>
      </c>
      <c r="F105" s="34"/>
      <c r="G105" s="35"/>
      <c r="H105" s="34"/>
      <c r="I105" s="33" t="s">
        <v>145</v>
      </c>
    </row>
    <row r="106" spans="1:9">
      <c r="A106" s="33" t="s">
        <v>1063</v>
      </c>
      <c r="B106" s="34" t="s">
        <v>1004</v>
      </c>
      <c r="C106" s="33" t="s">
        <v>1075</v>
      </c>
      <c r="D106" s="33" t="s">
        <v>139</v>
      </c>
      <c r="E106" s="34" t="s">
        <v>946</v>
      </c>
      <c r="F106" s="34"/>
      <c r="G106" s="35"/>
      <c r="H106" s="34"/>
      <c r="I106" s="33" t="s">
        <v>140</v>
      </c>
    </row>
    <row r="107" spans="1:9">
      <c r="A107" s="23" t="s">
        <v>1076</v>
      </c>
      <c r="B107" s="46" t="s">
        <v>973</v>
      </c>
      <c r="C107" s="23" t="s">
        <v>1077</v>
      </c>
      <c r="D107" s="23" t="s">
        <v>820</v>
      </c>
      <c r="E107" s="46" t="s">
        <v>946</v>
      </c>
      <c r="F107" s="46" t="s">
        <v>1078</v>
      </c>
      <c r="G107" s="47">
        <v>1E-3</v>
      </c>
      <c r="H107" s="46" t="s">
        <v>1079</v>
      </c>
      <c r="I107" s="23" t="s">
        <v>821</v>
      </c>
    </row>
    <row r="108" spans="1:9">
      <c r="A108" s="23" t="s">
        <v>1076</v>
      </c>
      <c r="B108" s="46" t="s">
        <v>973</v>
      </c>
      <c r="C108" s="23" t="s">
        <v>1080</v>
      </c>
      <c r="D108" s="23" t="s">
        <v>738</v>
      </c>
      <c r="E108" s="46" t="s">
        <v>946</v>
      </c>
      <c r="F108" s="46" t="s">
        <v>975</v>
      </c>
      <c r="G108" s="47">
        <v>0.27777999999999997</v>
      </c>
      <c r="H108" s="46" t="s">
        <v>976</v>
      </c>
      <c r="I108" s="23" t="s">
        <v>739</v>
      </c>
    </row>
    <row r="109" spans="1:9">
      <c r="A109" s="23" t="s">
        <v>1076</v>
      </c>
      <c r="B109" s="46" t="s">
        <v>973</v>
      </c>
      <c r="C109" s="23" t="s">
        <v>1081</v>
      </c>
      <c r="D109" s="23" t="s">
        <v>736</v>
      </c>
      <c r="E109" s="46" t="s">
        <v>946</v>
      </c>
      <c r="F109" s="46" t="s">
        <v>975</v>
      </c>
      <c r="G109" s="47">
        <v>0.27777999999999997</v>
      </c>
      <c r="H109" s="46" t="s">
        <v>976</v>
      </c>
      <c r="I109" s="23" t="s">
        <v>737</v>
      </c>
    </row>
    <row r="110" spans="1:9">
      <c r="A110" s="23" t="s">
        <v>1076</v>
      </c>
      <c r="B110" s="46" t="s">
        <v>973</v>
      </c>
      <c r="C110" s="23" t="s">
        <v>1082</v>
      </c>
      <c r="D110" s="23" t="s">
        <v>732</v>
      </c>
      <c r="E110" s="46" t="s">
        <v>946</v>
      </c>
      <c r="F110" s="46" t="s">
        <v>975</v>
      </c>
      <c r="G110" s="47">
        <v>0.27777999999999997</v>
      </c>
      <c r="H110" s="46" t="s">
        <v>976</v>
      </c>
      <c r="I110" s="23" t="s">
        <v>733</v>
      </c>
    </row>
    <row r="111" spans="1:9">
      <c r="A111" s="23" t="s">
        <v>1076</v>
      </c>
      <c r="B111" s="46" t="s">
        <v>973</v>
      </c>
      <c r="C111" s="23" t="s">
        <v>1083</v>
      </c>
      <c r="D111" s="23" t="s">
        <v>728</v>
      </c>
      <c r="E111" s="46" t="s">
        <v>946</v>
      </c>
      <c r="F111" s="46" t="s">
        <v>975</v>
      </c>
      <c r="G111" s="47">
        <v>0.27777999999999997</v>
      </c>
      <c r="H111" s="46" t="s">
        <v>976</v>
      </c>
      <c r="I111" s="23" t="s">
        <v>729</v>
      </c>
    </row>
    <row r="112" spans="1:9">
      <c r="A112" s="23" t="s">
        <v>1076</v>
      </c>
      <c r="B112" s="46" t="s">
        <v>973</v>
      </c>
      <c r="C112" s="23" t="s">
        <v>1084</v>
      </c>
      <c r="D112" s="23" t="s">
        <v>742</v>
      </c>
      <c r="E112" s="46" t="s">
        <v>946</v>
      </c>
      <c r="F112" s="46" t="s">
        <v>975</v>
      </c>
      <c r="G112" s="47">
        <v>0.27777999999999997</v>
      </c>
      <c r="H112" s="46" t="s">
        <v>976</v>
      </c>
      <c r="I112" s="23" t="s">
        <v>743</v>
      </c>
    </row>
    <row r="113" spans="1:9">
      <c r="A113" s="23" t="s">
        <v>1076</v>
      </c>
      <c r="B113" s="46" t="s">
        <v>973</v>
      </c>
      <c r="C113" s="23" t="s">
        <v>1085</v>
      </c>
      <c r="D113" s="23" t="s">
        <v>740</v>
      </c>
      <c r="E113" s="46" t="s">
        <v>946</v>
      </c>
      <c r="F113" s="46" t="s">
        <v>975</v>
      </c>
      <c r="G113" s="47">
        <v>0.27777999999999997</v>
      </c>
      <c r="H113" s="46" t="s">
        <v>976</v>
      </c>
      <c r="I113" s="23" t="s">
        <v>741</v>
      </c>
    </row>
    <row r="114" spans="1:9">
      <c r="A114" s="23" t="s">
        <v>1076</v>
      </c>
      <c r="B114" s="46" t="s">
        <v>973</v>
      </c>
      <c r="C114" s="23" t="s">
        <v>1086</v>
      </c>
      <c r="D114" s="23" t="s">
        <v>734</v>
      </c>
      <c r="E114" s="46" t="s">
        <v>946</v>
      </c>
      <c r="F114" s="46" t="s">
        <v>1087</v>
      </c>
      <c r="G114" s="47">
        <v>277.77999999999997</v>
      </c>
      <c r="H114" s="46" t="s">
        <v>976</v>
      </c>
      <c r="I114" s="23" t="s">
        <v>735</v>
      </c>
    </row>
    <row r="115" spans="1:9">
      <c r="A115" s="23" t="s">
        <v>1076</v>
      </c>
      <c r="B115" s="46" t="s">
        <v>973</v>
      </c>
      <c r="C115" s="23" t="s">
        <v>1088</v>
      </c>
      <c r="D115" s="23" t="s">
        <v>730</v>
      </c>
      <c r="E115" s="46" t="s">
        <v>946</v>
      </c>
      <c r="F115" s="46" t="s">
        <v>1087</v>
      </c>
      <c r="G115" s="47">
        <v>277.77999999999997</v>
      </c>
      <c r="H115" s="46" t="s">
        <v>976</v>
      </c>
      <c r="I115" s="23" t="s">
        <v>731</v>
      </c>
    </row>
    <row r="116" spans="1:9">
      <c r="A116" s="23" t="s">
        <v>1076</v>
      </c>
      <c r="B116" s="46" t="s">
        <v>990</v>
      </c>
      <c r="C116" s="23" t="s">
        <v>1089</v>
      </c>
      <c r="D116" s="23" t="s">
        <v>820</v>
      </c>
      <c r="E116" s="46" t="s">
        <v>992</v>
      </c>
      <c r="F116" s="46" t="s">
        <v>1078</v>
      </c>
      <c r="G116" s="47">
        <v>1E-3</v>
      </c>
      <c r="H116" s="46" t="s">
        <v>1079</v>
      </c>
      <c r="I116" s="23" t="s">
        <v>821</v>
      </c>
    </row>
    <row r="117" spans="1:9">
      <c r="A117" s="23" t="s">
        <v>1076</v>
      </c>
      <c r="B117" s="46" t="s">
        <v>990</v>
      </c>
      <c r="C117" s="23" t="s">
        <v>1090</v>
      </c>
      <c r="D117" s="23" t="s">
        <v>738</v>
      </c>
      <c r="E117" s="46" t="s">
        <v>992</v>
      </c>
      <c r="F117" s="46" t="s">
        <v>975</v>
      </c>
      <c r="G117" s="47">
        <v>0.27777999999999997</v>
      </c>
      <c r="H117" s="46" t="s">
        <v>976</v>
      </c>
      <c r="I117" s="23" t="s">
        <v>739</v>
      </c>
    </row>
    <row r="118" spans="1:9">
      <c r="A118" s="23" t="s">
        <v>1076</v>
      </c>
      <c r="B118" s="46" t="s">
        <v>990</v>
      </c>
      <c r="C118" s="23" t="s">
        <v>1091</v>
      </c>
      <c r="D118" s="23" t="s">
        <v>736</v>
      </c>
      <c r="E118" s="46" t="s">
        <v>992</v>
      </c>
      <c r="F118" s="46" t="s">
        <v>975</v>
      </c>
      <c r="G118" s="47">
        <v>0.27777999999999997</v>
      </c>
      <c r="H118" s="46" t="s">
        <v>976</v>
      </c>
      <c r="I118" s="23" t="s">
        <v>737</v>
      </c>
    </row>
    <row r="119" spans="1:9">
      <c r="A119" s="23" t="s">
        <v>1076</v>
      </c>
      <c r="B119" s="46" t="s">
        <v>990</v>
      </c>
      <c r="C119" s="23" t="s">
        <v>1092</v>
      </c>
      <c r="D119" s="23" t="s">
        <v>732</v>
      </c>
      <c r="E119" s="46" t="s">
        <v>992</v>
      </c>
      <c r="F119" s="46" t="s">
        <v>975</v>
      </c>
      <c r="G119" s="47">
        <v>0.27777999999999997</v>
      </c>
      <c r="H119" s="46" t="s">
        <v>976</v>
      </c>
      <c r="I119" s="23" t="s">
        <v>733</v>
      </c>
    </row>
    <row r="120" spans="1:9">
      <c r="A120" s="23" t="s">
        <v>1076</v>
      </c>
      <c r="B120" s="46" t="s">
        <v>990</v>
      </c>
      <c r="C120" s="23" t="s">
        <v>1093</v>
      </c>
      <c r="D120" s="23" t="s">
        <v>728</v>
      </c>
      <c r="E120" s="46" t="s">
        <v>992</v>
      </c>
      <c r="F120" s="46" t="s">
        <v>975</v>
      </c>
      <c r="G120" s="47">
        <v>0.27777999999999997</v>
      </c>
      <c r="H120" s="46" t="s">
        <v>976</v>
      </c>
      <c r="I120" s="23" t="s">
        <v>729</v>
      </c>
    </row>
    <row r="121" spans="1:9">
      <c r="A121" s="23" t="s">
        <v>1076</v>
      </c>
      <c r="B121" s="46" t="s">
        <v>990</v>
      </c>
      <c r="C121" s="23" t="s">
        <v>1094</v>
      </c>
      <c r="D121" s="23" t="s">
        <v>742</v>
      </c>
      <c r="E121" s="46" t="s">
        <v>992</v>
      </c>
      <c r="F121" s="46" t="s">
        <v>975</v>
      </c>
      <c r="G121" s="47">
        <v>0.27777999999999997</v>
      </c>
      <c r="H121" s="46" t="s">
        <v>976</v>
      </c>
      <c r="I121" s="23" t="s">
        <v>743</v>
      </c>
    </row>
    <row r="122" spans="1:9">
      <c r="A122" s="23" t="s">
        <v>1076</v>
      </c>
      <c r="B122" s="46" t="s">
        <v>990</v>
      </c>
      <c r="C122" s="23" t="s">
        <v>1095</v>
      </c>
      <c r="D122" s="23" t="s">
        <v>740</v>
      </c>
      <c r="E122" s="46" t="s">
        <v>992</v>
      </c>
      <c r="F122" s="46" t="s">
        <v>975</v>
      </c>
      <c r="G122" s="47">
        <v>0.27777999999999997</v>
      </c>
      <c r="H122" s="46" t="s">
        <v>976</v>
      </c>
      <c r="I122" s="23" t="s">
        <v>741</v>
      </c>
    </row>
    <row r="123" spans="1:9">
      <c r="A123" s="23" t="s">
        <v>1076</v>
      </c>
      <c r="B123" s="46" t="s">
        <v>990</v>
      </c>
      <c r="C123" s="23" t="s">
        <v>1096</v>
      </c>
      <c r="D123" s="23" t="s">
        <v>734</v>
      </c>
      <c r="E123" s="46" t="s">
        <v>992</v>
      </c>
      <c r="F123" s="46" t="s">
        <v>1087</v>
      </c>
      <c r="G123" s="47">
        <v>277.77999999999997</v>
      </c>
      <c r="H123" s="46" t="s">
        <v>976</v>
      </c>
      <c r="I123" s="23" t="s">
        <v>735</v>
      </c>
    </row>
    <row r="124" spans="1:9">
      <c r="A124" s="23" t="s">
        <v>1076</v>
      </c>
      <c r="B124" s="46" t="s">
        <v>990</v>
      </c>
      <c r="C124" s="23" t="s">
        <v>1097</v>
      </c>
      <c r="D124" s="23" t="s">
        <v>730</v>
      </c>
      <c r="E124" s="46" t="s">
        <v>992</v>
      </c>
      <c r="F124" s="46" t="s">
        <v>1087</v>
      </c>
      <c r="G124" s="47">
        <v>277.77999999999997</v>
      </c>
      <c r="H124" s="46" t="s">
        <v>976</v>
      </c>
      <c r="I124" s="23" t="s">
        <v>731</v>
      </c>
    </row>
    <row r="125" spans="1:9">
      <c r="A125" s="23" t="s">
        <v>1076</v>
      </c>
      <c r="B125" s="46" t="s">
        <v>1004</v>
      </c>
      <c r="C125" s="23" t="s">
        <v>1098</v>
      </c>
      <c r="D125" s="23" t="s">
        <v>477</v>
      </c>
      <c r="E125" s="46" t="s">
        <v>946</v>
      </c>
      <c r="F125" s="46" t="s">
        <v>1078</v>
      </c>
      <c r="G125" s="47">
        <v>1E-3</v>
      </c>
      <c r="H125" s="46" t="s">
        <v>1079</v>
      </c>
      <c r="I125" s="23" t="s">
        <v>478</v>
      </c>
    </row>
    <row r="126" spans="1:9">
      <c r="A126" s="23" t="s">
        <v>1076</v>
      </c>
      <c r="B126" s="46" t="s">
        <v>1004</v>
      </c>
      <c r="C126" s="23" t="s">
        <v>1099</v>
      </c>
      <c r="D126" s="23" t="s">
        <v>73</v>
      </c>
      <c r="E126" s="46" t="s">
        <v>946</v>
      </c>
      <c r="F126" s="46" t="s">
        <v>975</v>
      </c>
      <c r="G126" s="47">
        <v>0.27777999999999997</v>
      </c>
      <c r="H126" s="46" t="s">
        <v>976</v>
      </c>
      <c r="I126" s="23" t="s">
        <v>74</v>
      </c>
    </row>
    <row r="127" spans="1:9">
      <c r="A127" s="23" t="s">
        <v>1076</v>
      </c>
      <c r="B127" s="46" t="s">
        <v>1004</v>
      </c>
      <c r="C127" s="23" t="s">
        <v>1100</v>
      </c>
      <c r="D127" s="23" t="s">
        <v>71</v>
      </c>
      <c r="E127" s="46" t="s">
        <v>946</v>
      </c>
      <c r="F127" s="46" t="s">
        <v>975</v>
      </c>
      <c r="G127" s="47">
        <v>0.27777999999999997</v>
      </c>
      <c r="H127" s="46" t="s">
        <v>976</v>
      </c>
      <c r="I127" s="23" t="s">
        <v>72</v>
      </c>
    </row>
    <row r="128" spans="1:9">
      <c r="A128" s="23" t="s">
        <v>1076</v>
      </c>
      <c r="B128" s="46" t="s">
        <v>1004</v>
      </c>
      <c r="C128" s="23" t="s">
        <v>1101</v>
      </c>
      <c r="D128" s="23" t="s">
        <v>69</v>
      </c>
      <c r="E128" s="46" t="s">
        <v>946</v>
      </c>
      <c r="F128" s="46" t="s">
        <v>975</v>
      </c>
      <c r="G128" s="47">
        <v>0.27777999999999997</v>
      </c>
      <c r="H128" s="46" t="s">
        <v>976</v>
      </c>
      <c r="I128" s="23" t="s">
        <v>70</v>
      </c>
    </row>
    <row r="129" spans="1:9">
      <c r="A129" s="23" t="s">
        <v>1076</v>
      </c>
      <c r="B129" s="46" t="s">
        <v>1004</v>
      </c>
      <c r="C129" s="23" t="s">
        <v>1102</v>
      </c>
      <c r="D129" s="23" t="s">
        <v>67</v>
      </c>
      <c r="E129" s="46" t="s">
        <v>946</v>
      </c>
      <c r="F129" s="46" t="s">
        <v>975</v>
      </c>
      <c r="G129" s="47">
        <v>0.27777999999999997</v>
      </c>
      <c r="H129" s="46" t="s">
        <v>976</v>
      </c>
      <c r="I129" s="23" t="s">
        <v>68</v>
      </c>
    </row>
    <row r="130" spans="1:9">
      <c r="A130" s="23" t="s">
        <v>1076</v>
      </c>
      <c r="B130" s="46" t="s">
        <v>1004</v>
      </c>
      <c r="C130" s="23" t="s">
        <v>1103</v>
      </c>
      <c r="D130" s="23" t="s">
        <v>65</v>
      </c>
      <c r="E130" s="46" t="s">
        <v>946</v>
      </c>
      <c r="F130" s="46" t="s">
        <v>975</v>
      </c>
      <c r="G130" s="47">
        <v>0.27777999999999997</v>
      </c>
      <c r="H130" s="46" t="s">
        <v>976</v>
      </c>
      <c r="I130" s="23" t="s">
        <v>66</v>
      </c>
    </row>
    <row r="131" spans="1:9">
      <c r="A131" s="23" t="s">
        <v>1076</v>
      </c>
      <c r="B131" s="46" t="s">
        <v>1004</v>
      </c>
      <c r="C131" s="23" t="s">
        <v>1104</v>
      </c>
      <c r="D131" s="23" t="s">
        <v>63</v>
      </c>
      <c r="E131" s="46" t="s">
        <v>946</v>
      </c>
      <c r="F131" s="46" t="s">
        <v>975</v>
      </c>
      <c r="G131" s="47">
        <v>0.27777999999999997</v>
      </c>
      <c r="H131" s="46" t="s">
        <v>976</v>
      </c>
      <c r="I131" s="23" t="s">
        <v>64</v>
      </c>
    </row>
    <row r="132" spans="1:9">
      <c r="A132" s="23" t="s">
        <v>1076</v>
      </c>
      <c r="B132" s="46" t="s">
        <v>1004</v>
      </c>
      <c r="C132" s="23" t="s">
        <v>1105</v>
      </c>
      <c r="D132" s="23" t="s">
        <v>426</v>
      </c>
      <c r="E132" s="46" t="s">
        <v>946</v>
      </c>
      <c r="F132" s="46" t="s">
        <v>1087</v>
      </c>
      <c r="G132" s="47">
        <v>277.77999999999997</v>
      </c>
      <c r="H132" s="46" t="s">
        <v>976</v>
      </c>
      <c r="I132" s="23" t="s">
        <v>427</v>
      </c>
    </row>
    <row r="133" spans="1:9">
      <c r="A133" s="23" t="s">
        <v>1076</v>
      </c>
      <c r="B133" s="46" t="s">
        <v>1004</v>
      </c>
      <c r="C133" s="23" t="s">
        <v>1106</v>
      </c>
      <c r="D133" s="23" t="s">
        <v>424</v>
      </c>
      <c r="E133" s="46" t="s">
        <v>946</v>
      </c>
      <c r="F133" s="46" t="s">
        <v>1087</v>
      </c>
      <c r="G133" s="47">
        <v>277.77999999999997</v>
      </c>
      <c r="H133" s="46" t="s">
        <v>976</v>
      </c>
      <c r="I133" s="23" t="s">
        <v>425</v>
      </c>
    </row>
    <row r="134" spans="1:9">
      <c r="A134" s="23" t="s">
        <v>1076</v>
      </c>
      <c r="B134" s="46" t="s">
        <v>973</v>
      </c>
      <c r="C134" s="23" t="s">
        <v>1107</v>
      </c>
      <c r="D134" s="23" t="s">
        <v>126</v>
      </c>
      <c r="E134" s="46" t="s">
        <v>946</v>
      </c>
      <c r="F134" s="46" t="s">
        <v>1078</v>
      </c>
      <c r="G134" s="47">
        <v>1E-3</v>
      </c>
      <c r="H134" s="46" t="s">
        <v>1079</v>
      </c>
      <c r="I134" s="23" t="s">
        <v>127</v>
      </c>
    </row>
    <row r="135" spans="1:9">
      <c r="A135" s="23" t="s">
        <v>1076</v>
      </c>
      <c r="B135" s="46" t="s">
        <v>990</v>
      </c>
      <c r="C135" s="23" t="s">
        <v>1108</v>
      </c>
      <c r="D135" s="23" t="s">
        <v>126</v>
      </c>
      <c r="E135" s="46" t="s">
        <v>992</v>
      </c>
      <c r="F135" s="46" t="s">
        <v>1078</v>
      </c>
      <c r="G135" s="47">
        <v>1E-3</v>
      </c>
      <c r="H135" s="46" t="s">
        <v>1079</v>
      </c>
      <c r="I135" s="23" t="s">
        <v>127</v>
      </c>
    </row>
    <row r="136" spans="1:9">
      <c r="A136" s="22" t="s">
        <v>1109</v>
      </c>
      <c r="B136" s="36" t="s">
        <v>973</v>
      </c>
      <c r="C136" s="22" t="s">
        <v>1110</v>
      </c>
      <c r="D136" s="22" t="s">
        <v>557</v>
      </c>
      <c r="E136" s="36" t="s">
        <v>946</v>
      </c>
      <c r="F136" s="36"/>
      <c r="G136" s="37"/>
      <c r="H136" s="36"/>
      <c r="I136" s="22" t="s">
        <v>558</v>
      </c>
    </row>
    <row r="137" spans="1:9">
      <c r="A137" s="22" t="s">
        <v>1109</v>
      </c>
      <c r="B137" s="36" t="s">
        <v>973</v>
      </c>
      <c r="C137" s="22" t="s">
        <v>1111</v>
      </c>
      <c r="D137" s="22" t="s">
        <v>559</v>
      </c>
      <c r="E137" s="36" t="s">
        <v>946</v>
      </c>
      <c r="F137" s="36"/>
      <c r="G137" s="37"/>
      <c r="H137" s="36"/>
      <c r="I137" s="22" t="s">
        <v>560</v>
      </c>
    </row>
    <row r="138" spans="1:9">
      <c r="A138" s="22" t="s">
        <v>1109</v>
      </c>
      <c r="B138" s="36" t="s">
        <v>973</v>
      </c>
      <c r="C138" s="22" t="s">
        <v>1112</v>
      </c>
      <c r="D138" s="22" t="s">
        <v>105</v>
      </c>
      <c r="E138" s="36" t="s">
        <v>946</v>
      </c>
      <c r="F138" s="36"/>
      <c r="G138" s="37"/>
      <c r="H138" s="36"/>
      <c r="I138" s="22" t="s">
        <v>106</v>
      </c>
    </row>
    <row r="139" spans="1:9">
      <c r="A139" s="22" t="s">
        <v>1109</v>
      </c>
      <c r="B139" s="36" t="s">
        <v>973</v>
      </c>
      <c r="C139" s="22" t="s">
        <v>1113</v>
      </c>
      <c r="D139" s="22" t="s">
        <v>890</v>
      </c>
      <c r="E139" s="36" t="s">
        <v>946</v>
      </c>
      <c r="F139" s="36"/>
      <c r="G139" s="37"/>
      <c r="H139" s="36"/>
      <c r="I139" s="22" t="s">
        <v>891</v>
      </c>
    </row>
    <row r="140" spans="1:9">
      <c r="A140" s="22" t="s">
        <v>1109</v>
      </c>
      <c r="B140" s="36" t="s">
        <v>973</v>
      </c>
      <c r="C140" s="22" t="s">
        <v>1114</v>
      </c>
      <c r="D140" s="22" t="s">
        <v>642</v>
      </c>
      <c r="E140" s="36" t="s">
        <v>946</v>
      </c>
      <c r="F140" s="36"/>
      <c r="G140" s="37"/>
      <c r="H140" s="36"/>
      <c r="I140" s="22" t="s">
        <v>643</v>
      </c>
    </row>
    <row r="141" spans="1:9">
      <c r="A141" s="22" t="s">
        <v>1109</v>
      </c>
      <c r="B141" s="36" t="s">
        <v>973</v>
      </c>
      <c r="C141" s="22" t="s">
        <v>1115</v>
      </c>
      <c r="D141" s="22" t="s">
        <v>748</v>
      </c>
      <c r="E141" s="36" t="s">
        <v>946</v>
      </c>
      <c r="F141" s="36"/>
      <c r="G141" s="37"/>
      <c r="H141" s="36"/>
      <c r="I141" s="22" t="s">
        <v>749</v>
      </c>
    </row>
    <row r="142" spans="1:9">
      <c r="A142" s="22" t="s">
        <v>1109</v>
      </c>
      <c r="B142" s="36" t="s">
        <v>973</v>
      </c>
      <c r="C142" s="22" t="s">
        <v>1116</v>
      </c>
      <c r="D142" s="22" t="s">
        <v>531</v>
      </c>
      <c r="E142" s="36" t="s">
        <v>946</v>
      </c>
      <c r="F142" s="36"/>
      <c r="G142" s="37"/>
      <c r="H142" s="36"/>
      <c r="I142" s="22" t="s">
        <v>532</v>
      </c>
    </row>
    <row r="143" spans="1:9">
      <c r="A143" s="22" t="s">
        <v>1109</v>
      </c>
      <c r="B143" s="36" t="s">
        <v>973</v>
      </c>
      <c r="C143" s="22" t="s">
        <v>1117</v>
      </c>
      <c r="D143" s="22" t="s">
        <v>529</v>
      </c>
      <c r="E143" s="36" t="s">
        <v>946</v>
      </c>
      <c r="F143" s="36"/>
      <c r="G143" s="37"/>
      <c r="H143" s="36"/>
      <c r="I143" s="22" t="s">
        <v>530</v>
      </c>
    </row>
    <row r="144" spans="1:9">
      <c r="A144" s="22" t="s">
        <v>1109</v>
      </c>
      <c r="B144" s="36" t="s">
        <v>973</v>
      </c>
      <c r="C144" s="22" t="s">
        <v>1118</v>
      </c>
      <c r="D144" s="22" t="s">
        <v>535</v>
      </c>
      <c r="E144" s="36" t="s">
        <v>946</v>
      </c>
      <c r="F144" s="36"/>
      <c r="G144" s="37"/>
      <c r="H144" s="36"/>
      <c r="I144" s="22" t="s">
        <v>536</v>
      </c>
    </row>
    <row r="145" spans="1:9">
      <c r="A145" s="22" t="s">
        <v>1109</v>
      </c>
      <c r="B145" s="36" t="s">
        <v>973</v>
      </c>
      <c r="C145" s="22" t="s">
        <v>1119</v>
      </c>
      <c r="D145" s="22" t="s">
        <v>724</v>
      </c>
      <c r="E145" s="36" t="s">
        <v>946</v>
      </c>
      <c r="F145" s="36"/>
      <c r="G145" s="37"/>
      <c r="H145" s="36"/>
      <c r="I145" s="22" t="s">
        <v>725</v>
      </c>
    </row>
    <row r="146" spans="1:9">
      <c r="A146" s="22" t="s">
        <v>1109</v>
      </c>
      <c r="B146" s="36" t="s">
        <v>973</v>
      </c>
      <c r="C146" s="22" t="s">
        <v>1120</v>
      </c>
      <c r="D146" s="22" t="s">
        <v>722</v>
      </c>
      <c r="E146" s="36" t="s">
        <v>946</v>
      </c>
      <c r="F146" s="36"/>
      <c r="G146" s="37"/>
      <c r="H146" s="36"/>
      <c r="I146" s="22" t="s">
        <v>723</v>
      </c>
    </row>
    <row r="147" spans="1:9">
      <c r="A147" s="22" t="s">
        <v>1109</v>
      </c>
      <c r="B147" s="36" t="s">
        <v>990</v>
      </c>
      <c r="C147" s="22" t="s">
        <v>1121</v>
      </c>
      <c r="D147" s="22" t="s">
        <v>557</v>
      </c>
      <c r="E147" s="36" t="s">
        <v>992</v>
      </c>
      <c r="F147" s="36"/>
      <c r="G147" s="37"/>
      <c r="H147" s="36"/>
      <c r="I147" s="22" t="s">
        <v>558</v>
      </c>
    </row>
    <row r="148" spans="1:9">
      <c r="A148" s="22" t="s">
        <v>1109</v>
      </c>
      <c r="B148" s="36" t="s">
        <v>990</v>
      </c>
      <c r="C148" s="22" t="s">
        <v>1122</v>
      </c>
      <c r="D148" s="22" t="s">
        <v>559</v>
      </c>
      <c r="E148" s="36" t="s">
        <v>992</v>
      </c>
      <c r="F148" s="36"/>
      <c r="G148" s="37"/>
      <c r="H148" s="36"/>
      <c r="I148" s="22" t="s">
        <v>560</v>
      </c>
    </row>
    <row r="149" spans="1:9">
      <c r="A149" s="22" t="s">
        <v>1109</v>
      </c>
      <c r="B149" s="36" t="s">
        <v>990</v>
      </c>
      <c r="C149" s="22" t="s">
        <v>1123</v>
      </c>
      <c r="D149" s="22" t="s">
        <v>105</v>
      </c>
      <c r="E149" s="36" t="s">
        <v>992</v>
      </c>
      <c r="F149" s="36"/>
      <c r="G149" s="37"/>
      <c r="H149" s="36"/>
      <c r="I149" s="22" t="s">
        <v>106</v>
      </c>
    </row>
    <row r="150" spans="1:9">
      <c r="A150" s="22" t="s">
        <v>1109</v>
      </c>
      <c r="B150" s="36" t="s">
        <v>990</v>
      </c>
      <c r="C150" s="22" t="s">
        <v>1124</v>
      </c>
      <c r="D150" s="22" t="s">
        <v>890</v>
      </c>
      <c r="E150" s="36" t="s">
        <v>992</v>
      </c>
      <c r="F150" s="36"/>
      <c r="G150" s="37"/>
      <c r="H150" s="36"/>
      <c r="I150" s="22" t="s">
        <v>891</v>
      </c>
    </row>
    <row r="151" spans="1:9">
      <c r="A151" s="22" t="s">
        <v>1109</v>
      </c>
      <c r="B151" s="36" t="s">
        <v>990</v>
      </c>
      <c r="C151" s="22" t="s">
        <v>1125</v>
      </c>
      <c r="D151" s="22" t="s">
        <v>642</v>
      </c>
      <c r="E151" s="36" t="s">
        <v>992</v>
      </c>
      <c r="F151" s="36"/>
      <c r="G151" s="37"/>
      <c r="H151" s="36"/>
      <c r="I151" s="22" t="s">
        <v>643</v>
      </c>
    </row>
    <row r="152" spans="1:9">
      <c r="A152" s="22" t="s">
        <v>1109</v>
      </c>
      <c r="B152" s="36" t="s">
        <v>990</v>
      </c>
      <c r="C152" s="22" t="s">
        <v>1126</v>
      </c>
      <c r="D152" s="22" t="s">
        <v>748</v>
      </c>
      <c r="E152" s="36" t="s">
        <v>992</v>
      </c>
      <c r="F152" s="36"/>
      <c r="G152" s="37"/>
      <c r="H152" s="36"/>
      <c r="I152" s="22" t="s">
        <v>749</v>
      </c>
    </row>
    <row r="153" spans="1:9">
      <c r="A153" s="22" t="s">
        <v>1109</v>
      </c>
      <c r="B153" s="36" t="s">
        <v>990</v>
      </c>
      <c r="C153" s="22" t="s">
        <v>1127</v>
      </c>
      <c r="D153" s="22" t="s">
        <v>531</v>
      </c>
      <c r="E153" s="36" t="s">
        <v>992</v>
      </c>
      <c r="F153" s="36"/>
      <c r="G153" s="37"/>
      <c r="H153" s="36"/>
      <c r="I153" s="22" t="s">
        <v>532</v>
      </c>
    </row>
    <row r="154" spans="1:9">
      <c r="A154" s="22" t="s">
        <v>1109</v>
      </c>
      <c r="B154" s="36" t="s">
        <v>990</v>
      </c>
      <c r="C154" s="22" t="s">
        <v>1128</v>
      </c>
      <c r="D154" s="22" t="s">
        <v>529</v>
      </c>
      <c r="E154" s="36" t="s">
        <v>992</v>
      </c>
      <c r="F154" s="36"/>
      <c r="G154" s="37"/>
      <c r="H154" s="36"/>
      <c r="I154" s="22" t="s">
        <v>530</v>
      </c>
    </row>
    <row r="155" spans="1:9">
      <c r="A155" s="22" t="s">
        <v>1109</v>
      </c>
      <c r="B155" s="36" t="s">
        <v>990</v>
      </c>
      <c r="C155" s="22" t="s">
        <v>1129</v>
      </c>
      <c r="D155" s="22" t="s">
        <v>535</v>
      </c>
      <c r="E155" s="36" t="s">
        <v>992</v>
      </c>
      <c r="F155" s="36"/>
      <c r="G155" s="37"/>
      <c r="H155" s="36"/>
      <c r="I155" s="22" t="s">
        <v>536</v>
      </c>
    </row>
    <row r="156" spans="1:9">
      <c r="A156" s="22" t="s">
        <v>1109</v>
      </c>
      <c r="B156" s="36" t="s">
        <v>990</v>
      </c>
      <c r="C156" s="22" t="s">
        <v>1130</v>
      </c>
      <c r="D156" s="22" t="s">
        <v>724</v>
      </c>
      <c r="E156" s="36" t="s">
        <v>992</v>
      </c>
      <c r="F156" s="36"/>
      <c r="G156" s="37"/>
      <c r="H156" s="36"/>
      <c r="I156" s="22" t="s">
        <v>725</v>
      </c>
    </row>
    <row r="157" spans="1:9">
      <c r="A157" s="22" t="s">
        <v>1109</v>
      </c>
      <c r="B157" s="36" t="s">
        <v>990</v>
      </c>
      <c r="C157" s="22" t="s">
        <v>1131</v>
      </c>
      <c r="D157" s="22" t="s">
        <v>722</v>
      </c>
      <c r="E157" s="36" t="s">
        <v>992</v>
      </c>
      <c r="F157" s="36"/>
      <c r="G157" s="37"/>
      <c r="H157" s="36"/>
      <c r="I157" s="22" t="s">
        <v>723</v>
      </c>
    </row>
    <row r="158" spans="1:9">
      <c r="A158" s="22" t="s">
        <v>1109</v>
      </c>
      <c r="B158" s="36" t="s">
        <v>1004</v>
      </c>
      <c r="C158" s="22" t="s">
        <v>1132</v>
      </c>
      <c r="D158" s="22" t="s">
        <v>396</v>
      </c>
      <c r="E158" s="36" t="s">
        <v>946</v>
      </c>
      <c r="F158" s="36"/>
      <c r="G158" s="37"/>
      <c r="H158" s="36"/>
      <c r="I158" s="22" t="s">
        <v>397</v>
      </c>
    </row>
    <row r="159" spans="1:9">
      <c r="A159" s="22" t="s">
        <v>1109</v>
      </c>
      <c r="B159" s="36" t="s">
        <v>1004</v>
      </c>
      <c r="C159" s="22" t="s">
        <v>1133</v>
      </c>
      <c r="D159" s="22" t="s">
        <v>398</v>
      </c>
      <c r="E159" s="36" t="s">
        <v>946</v>
      </c>
      <c r="F159" s="36"/>
      <c r="G159" s="37"/>
      <c r="H159" s="36"/>
      <c r="I159" s="22" t="s">
        <v>399</v>
      </c>
    </row>
    <row r="160" spans="1:9">
      <c r="A160" s="22" t="s">
        <v>1109</v>
      </c>
      <c r="B160" s="36" t="s">
        <v>1004</v>
      </c>
      <c r="C160" s="22" t="s">
        <v>1134</v>
      </c>
      <c r="D160" s="22" t="s">
        <v>310</v>
      </c>
      <c r="E160" s="36" t="s">
        <v>946</v>
      </c>
      <c r="F160" s="36"/>
      <c r="G160" s="37"/>
      <c r="H160" s="36"/>
      <c r="I160" s="22" t="s">
        <v>311</v>
      </c>
    </row>
    <row r="161" spans="1:9">
      <c r="A161" s="22" t="s">
        <v>1109</v>
      </c>
      <c r="B161" s="36" t="s">
        <v>1004</v>
      </c>
      <c r="C161" s="22" t="s">
        <v>1135</v>
      </c>
      <c r="D161" s="22" t="s">
        <v>501</v>
      </c>
      <c r="E161" s="36" t="s">
        <v>946</v>
      </c>
      <c r="F161" s="36"/>
      <c r="G161" s="37"/>
      <c r="H161" s="36"/>
      <c r="I161" s="22" t="s">
        <v>502</v>
      </c>
    </row>
    <row r="162" spans="1:9">
      <c r="A162" s="22" t="s">
        <v>1109</v>
      </c>
      <c r="B162" s="36" t="s">
        <v>1004</v>
      </c>
      <c r="C162" s="22" t="s">
        <v>1136</v>
      </c>
      <c r="D162" s="22" t="s">
        <v>499</v>
      </c>
      <c r="E162" s="36" t="s">
        <v>946</v>
      </c>
      <c r="F162" s="36"/>
      <c r="G162" s="37"/>
      <c r="H162" s="36"/>
      <c r="I162" s="22" t="s">
        <v>500</v>
      </c>
    </row>
    <row r="163" spans="1:9">
      <c r="A163" s="22" t="s">
        <v>1109</v>
      </c>
      <c r="B163" s="36" t="s">
        <v>1004</v>
      </c>
      <c r="C163" s="22" t="s">
        <v>1137</v>
      </c>
      <c r="D163" s="22" t="s">
        <v>416</v>
      </c>
      <c r="E163" s="36" t="s">
        <v>946</v>
      </c>
      <c r="F163" s="36"/>
      <c r="G163" s="37"/>
      <c r="H163" s="36"/>
      <c r="I163" s="22" t="s">
        <v>417</v>
      </c>
    </row>
    <row r="164" spans="1:9">
      <c r="A164" s="22" t="s">
        <v>1109</v>
      </c>
      <c r="B164" s="36" t="s">
        <v>1004</v>
      </c>
      <c r="C164" s="22" t="s">
        <v>1138</v>
      </c>
      <c r="D164" s="22" t="s">
        <v>376</v>
      </c>
      <c r="E164" s="36" t="s">
        <v>946</v>
      </c>
      <c r="F164" s="36"/>
      <c r="G164" s="37"/>
      <c r="H164" s="36"/>
      <c r="I164" s="22" t="s">
        <v>377</v>
      </c>
    </row>
    <row r="165" spans="1:9">
      <c r="A165" s="22" t="s">
        <v>1109</v>
      </c>
      <c r="B165" s="36" t="s">
        <v>1004</v>
      </c>
      <c r="C165" s="22" t="s">
        <v>1139</v>
      </c>
      <c r="D165" s="22" t="s">
        <v>374</v>
      </c>
      <c r="E165" s="36" t="s">
        <v>946</v>
      </c>
      <c r="F165" s="36"/>
      <c r="G165" s="37"/>
      <c r="H165" s="36"/>
      <c r="I165" s="22" t="s">
        <v>375</v>
      </c>
    </row>
    <row r="166" spans="1:9">
      <c r="A166" s="22" t="s">
        <v>1109</v>
      </c>
      <c r="B166" s="36" t="s">
        <v>1004</v>
      </c>
      <c r="C166" s="22" t="s">
        <v>1140</v>
      </c>
      <c r="D166" s="22" t="s">
        <v>380</v>
      </c>
      <c r="E166" s="36" t="s">
        <v>946</v>
      </c>
      <c r="F166" s="36"/>
      <c r="G166" s="37"/>
      <c r="H166" s="36"/>
      <c r="I166" s="22" t="s">
        <v>381</v>
      </c>
    </row>
    <row r="167" spans="1:9">
      <c r="A167" s="22" t="s">
        <v>1109</v>
      </c>
      <c r="B167" s="36" t="s">
        <v>1004</v>
      </c>
      <c r="C167" s="22" t="s">
        <v>1141</v>
      </c>
      <c r="D167" s="22" t="s">
        <v>422</v>
      </c>
      <c r="E167" s="36" t="s">
        <v>946</v>
      </c>
      <c r="F167" s="36"/>
      <c r="G167" s="37"/>
      <c r="H167" s="36"/>
      <c r="I167" s="22" t="s">
        <v>423</v>
      </c>
    </row>
    <row r="168" spans="1:9">
      <c r="A168" s="22" t="s">
        <v>1109</v>
      </c>
      <c r="B168" s="36" t="s">
        <v>1004</v>
      </c>
      <c r="C168" s="22" t="s">
        <v>1142</v>
      </c>
      <c r="D168" s="22" t="s">
        <v>420</v>
      </c>
      <c r="E168" s="36" t="s">
        <v>946</v>
      </c>
      <c r="F168" s="36"/>
      <c r="G168" s="37"/>
      <c r="H168" s="36"/>
      <c r="I168" s="22" t="s">
        <v>421</v>
      </c>
    </row>
    <row r="169" spans="1:9">
      <c r="A169" s="22" t="s">
        <v>1109</v>
      </c>
      <c r="B169" s="36" t="s">
        <v>973</v>
      </c>
      <c r="C169" s="22" t="s">
        <v>1143</v>
      </c>
      <c r="D169" s="22" t="s">
        <v>547</v>
      </c>
      <c r="E169" s="36" t="s">
        <v>946</v>
      </c>
      <c r="F169" s="36"/>
      <c r="G169" s="37"/>
      <c r="H169" s="36"/>
      <c r="I169" s="22" t="s">
        <v>548</v>
      </c>
    </row>
    <row r="170" spans="1:9">
      <c r="A170" s="22" t="s">
        <v>1109</v>
      </c>
      <c r="B170" s="36" t="s">
        <v>973</v>
      </c>
      <c r="C170" s="22" t="s">
        <v>1144</v>
      </c>
      <c r="D170" s="22" t="s">
        <v>545</v>
      </c>
      <c r="E170" s="36" t="s">
        <v>946</v>
      </c>
      <c r="F170" s="36"/>
      <c r="G170" s="37"/>
      <c r="H170" s="36"/>
      <c r="I170" s="22" t="s">
        <v>546</v>
      </c>
    </row>
    <row r="171" spans="1:9">
      <c r="A171" s="22" t="s">
        <v>1109</v>
      </c>
      <c r="B171" s="36" t="s">
        <v>973</v>
      </c>
      <c r="C171" s="22" t="s">
        <v>1145</v>
      </c>
      <c r="D171" s="22" t="s">
        <v>541</v>
      </c>
      <c r="E171" s="36" t="s">
        <v>946</v>
      </c>
      <c r="F171" s="36"/>
      <c r="G171" s="37"/>
      <c r="H171" s="36"/>
      <c r="I171" s="22" t="s">
        <v>542</v>
      </c>
    </row>
    <row r="172" spans="1:9">
      <c r="A172" s="22" t="s">
        <v>1109</v>
      </c>
      <c r="B172" s="36" t="s">
        <v>973</v>
      </c>
      <c r="C172" s="22" t="s">
        <v>1146</v>
      </c>
      <c r="D172" s="22" t="s">
        <v>537</v>
      </c>
      <c r="E172" s="36" t="s">
        <v>946</v>
      </c>
      <c r="F172" s="36"/>
      <c r="G172" s="37"/>
      <c r="H172" s="36"/>
      <c r="I172" s="22" t="s">
        <v>538</v>
      </c>
    </row>
    <row r="173" spans="1:9">
      <c r="A173" s="22" t="s">
        <v>1109</v>
      </c>
      <c r="B173" s="36" t="s">
        <v>973</v>
      </c>
      <c r="C173" s="22" t="s">
        <v>1147</v>
      </c>
      <c r="D173" s="22" t="s">
        <v>191</v>
      </c>
      <c r="E173" s="36" t="s">
        <v>946</v>
      </c>
      <c r="F173" s="36"/>
      <c r="G173" s="37"/>
      <c r="H173" s="36"/>
      <c r="I173" s="22" t="s">
        <v>192</v>
      </c>
    </row>
    <row r="174" spans="1:9">
      <c r="A174" s="22" t="s">
        <v>1109</v>
      </c>
      <c r="B174" s="36" t="s">
        <v>973</v>
      </c>
      <c r="C174" s="22" t="s">
        <v>1148</v>
      </c>
      <c r="D174" s="22" t="s">
        <v>187</v>
      </c>
      <c r="E174" s="36" t="s">
        <v>946</v>
      </c>
      <c r="F174" s="36"/>
      <c r="G174" s="37"/>
      <c r="H174" s="36"/>
      <c r="I174" s="22" t="s">
        <v>188</v>
      </c>
    </row>
    <row r="175" spans="1:9">
      <c r="A175" s="22" t="s">
        <v>1109</v>
      </c>
      <c r="B175" s="36" t="s">
        <v>973</v>
      </c>
      <c r="C175" s="22" t="s">
        <v>1149</v>
      </c>
      <c r="D175" s="22" t="s">
        <v>189</v>
      </c>
      <c r="E175" s="36" t="s">
        <v>946</v>
      </c>
      <c r="F175" s="36"/>
      <c r="G175" s="37"/>
      <c r="H175" s="36"/>
      <c r="I175" s="22" t="s">
        <v>190</v>
      </c>
    </row>
    <row r="176" spans="1:9">
      <c r="A176" s="22" t="s">
        <v>1109</v>
      </c>
      <c r="B176" s="36" t="s">
        <v>973</v>
      </c>
      <c r="C176" s="22" t="s">
        <v>1150</v>
      </c>
      <c r="D176" s="22" t="s">
        <v>185</v>
      </c>
      <c r="E176" s="36" t="s">
        <v>946</v>
      </c>
      <c r="F176" s="36"/>
      <c r="G176" s="37"/>
      <c r="H176" s="36"/>
      <c r="I176" s="22" t="s">
        <v>186</v>
      </c>
    </row>
    <row r="177" spans="1:9">
      <c r="A177" s="22" t="s">
        <v>1109</v>
      </c>
      <c r="B177" s="36" t="s">
        <v>990</v>
      </c>
      <c r="C177" s="22" t="s">
        <v>1151</v>
      </c>
      <c r="D177" s="22" t="s">
        <v>547</v>
      </c>
      <c r="E177" s="36" t="s">
        <v>992</v>
      </c>
      <c r="F177" s="36"/>
      <c r="G177" s="37"/>
      <c r="H177" s="36"/>
      <c r="I177" s="22" t="s">
        <v>548</v>
      </c>
    </row>
    <row r="178" spans="1:9">
      <c r="A178" s="22" t="s">
        <v>1109</v>
      </c>
      <c r="B178" s="36" t="s">
        <v>990</v>
      </c>
      <c r="C178" s="22" t="s">
        <v>1152</v>
      </c>
      <c r="D178" s="22" t="s">
        <v>545</v>
      </c>
      <c r="E178" s="36" t="s">
        <v>992</v>
      </c>
      <c r="F178" s="36"/>
      <c r="G178" s="37"/>
      <c r="H178" s="36"/>
      <c r="I178" s="22" t="s">
        <v>546</v>
      </c>
    </row>
    <row r="179" spans="1:9">
      <c r="A179" s="22" t="s">
        <v>1109</v>
      </c>
      <c r="B179" s="36" t="s">
        <v>990</v>
      </c>
      <c r="C179" s="22" t="s">
        <v>1153</v>
      </c>
      <c r="D179" s="22" t="s">
        <v>541</v>
      </c>
      <c r="E179" s="36" t="s">
        <v>992</v>
      </c>
      <c r="F179" s="36"/>
      <c r="G179" s="37"/>
      <c r="H179" s="36"/>
      <c r="I179" s="22" t="s">
        <v>542</v>
      </c>
    </row>
    <row r="180" spans="1:9">
      <c r="A180" s="22" t="s">
        <v>1109</v>
      </c>
      <c r="B180" s="36" t="s">
        <v>990</v>
      </c>
      <c r="C180" s="22" t="s">
        <v>1154</v>
      </c>
      <c r="D180" s="22" t="s">
        <v>537</v>
      </c>
      <c r="E180" s="36" t="s">
        <v>992</v>
      </c>
      <c r="F180" s="36"/>
      <c r="G180" s="37"/>
      <c r="H180" s="36"/>
      <c r="I180" s="22" t="s">
        <v>538</v>
      </c>
    </row>
    <row r="181" spans="1:9">
      <c r="A181" s="22" t="s">
        <v>1109</v>
      </c>
      <c r="B181" s="36" t="s">
        <v>990</v>
      </c>
      <c r="C181" s="22" t="s">
        <v>1155</v>
      </c>
      <c r="D181" s="22" t="s">
        <v>191</v>
      </c>
      <c r="E181" s="36" t="s">
        <v>992</v>
      </c>
      <c r="F181" s="36"/>
      <c r="G181" s="37"/>
      <c r="H181" s="36"/>
      <c r="I181" s="22" t="s">
        <v>192</v>
      </c>
    </row>
    <row r="182" spans="1:9">
      <c r="A182" s="22" t="s">
        <v>1109</v>
      </c>
      <c r="B182" s="36" t="s">
        <v>990</v>
      </c>
      <c r="C182" s="22" t="s">
        <v>1156</v>
      </c>
      <c r="D182" s="22" t="s">
        <v>187</v>
      </c>
      <c r="E182" s="36" t="s">
        <v>992</v>
      </c>
      <c r="F182" s="36"/>
      <c r="G182" s="37"/>
      <c r="H182" s="36"/>
      <c r="I182" s="22" t="s">
        <v>188</v>
      </c>
    </row>
    <row r="183" spans="1:9">
      <c r="A183" s="22" t="s">
        <v>1109</v>
      </c>
      <c r="B183" s="36" t="s">
        <v>990</v>
      </c>
      <c r="C183" s="22" t="s">
        <v>1157</v>
      </c>
      <c r="D183" s="22" t="s">
        <v>189</v>
      </c>
      <c r="E183" s="36" t="s">
        <v>992</v>
      </c>
      <c r="F183" s="36"/>
      <c r="G183" s="37"/>
      <c r="H183" s="36"/>
      <c r="I183" s="22" t="s">
        <v>190</v>
      </c>
    </row>
    <row r="184" spans="1:9">
      <c r="A184" s="22" t="s">
        <v>1109</v>
      </c>
      <c r="B184" s="36" t="s">
        <v>990</v>
      </c>
      <c r="C184" s="22" t="s">
        <v>1158</v>
      </c>
      <c r="D184" s="22" t="s">
        <v>185</v>
      </c>
      <c r="E184" s="36" t="s">
        <v>992</v>
      </c>
      <c r="F184" s="36"/>
      <c r="G184" s="37"/>
      <c r="H184" s="36"/>
      <c r="I184" s="22" t="s">
        <v>186</v>
      </c>
    </row>
    <row r="185" spans="1:9">
      <c r="A185" s="22" t="s">
        <v>1109</v>
      </c>
      <c r="B185" s="36" t="s">
        <v>1004</v>
      </c>
      <c r="C185" s="22" t="s">
        <v>1159</v>
      </c>
      <c r="D185" s="22" t="s">
        <v>475</v>
      </c>
      <c r="E185" s="36" t="s">
        <v>946</v>
      </c>
      <c r="F185" s="36"/>
      <c r="G185" s="37"/>
      <c r="H185" s="36"/>
      <c r="I185" s="22" t="s">
        <v>476</v>
      </c>
    </row>
    <row r="186" spans="1:9">
      <c r="A186" s="22" t="s">
        <v>1109</v>
      </c>
      <c r="B186" s="36" t="s">
        <v>1004</v>
      </c>
      <c r="C186" s="22" t="s">
        <v>1160</v>
      </c>
      <c r="D186" s="22" t="s">
        <v>473</v>
      </c>
      <c r="E186" s="36" t="s">
        <v>946</v>
      </c>
      <c r="F186" s="36"/>
      <c r="G186" s="37"/>
      <c r="H186" s="36"/>
      <c r="I186" s="22" t="s">
        <v>474</v>
      </c>
    </row>
    <row r="187" spans="1:9">
      <c r="A187" s="22" t="s">
        <v>1109</v>
      </c>
      <c r="B187" s="36" t="s">
        <v>1004</v>
      </c>
      <c r="C187" s="22" t="s">
        <v>1161</v>
      </c>
      <c r="D187" s="22" t="s">
        <v>471</v>
      </c>
      <c r="E187" s="36" t="s">
        <v>946</v>
      </c>
      <c r="F187" s="36"/>
      <c r="G187" s="37"/>
      <c r="H187" s="36"/>
      <c r="I187" s="22" t="s">
        <v>472</v>
      </c>
    </row>
    <row r="188" spans="1:9">
      <c r="A188" s="22" t="s">
        <v>1109</v>
      </c>
      <c r="B188" s="36" t="s">
        <v>1004</v>
      </c>
      <c r="C188" s="22" t="s">
        <v>1162</v>
      </c>
      <c r="D188" s="22" t="s">
        <v>384</v>
      </c>
      <c r="E188" s="36" t="s">
        <v>946</v>
      </c>
      <c r="F188" s="36"/>
      <c r="G188" s="37"/>
      <c r="H188" s="36"/>
      <c r="I188" s="22" t="s">
        <v>385</v>
      </c>
    </row>
    <row r="189" spans="1:9">
      <c r="A189" s="22" t="s">
        <v>1109</v>
      </c>
      <c r="B189" s="36" t="s">
        <v>1004</v>
      </c>
      <c r="C189" s="22" t="s">
        <v>1163</v>
      </c>
      <c r="D189" s="22" t="s">
        <v>336</v>
      </c>
      <c r="E189" s="36" t="s">
        <v>946</v>
      </c>
      <c r="F189" s="36"/>
      <c r="G189" s="37"/>
      <c r="H189" s="36"/>
      <c r="I189" s="22" t="s">
        <v>337</v>
      </c>
    </row>
    <row r="190" spans="1:9">
      <c r="A190" s="22" t="s">
        <v>1109</v>
      </c>
      <c r="B190" s="36" t="s">
        <v>1004</v>
      </c>
      <c r="C190" s="22" t="s">
        <v>1164</v>
      </c>
      <c r="D190" s="22" t="s">
        <v>332</v>
      </c>
      <c r="E190" s="36" t="s">
        <v>946</v>
      </c>
      <c r="F190" s="36"/>
      <c r="G190" s="37"/>
      <c r="H190" s="36"/>
      <c r="I190" s="22" t="s">
        <v>333</v>
      </c>
    </row>
    <row r="191" spans="1:9">
      <c r="A191" s="22" t="s">
        <v>1109</v>
      </c>
      <c r="B191" s="36" t="s">
        <v>1004</v>
      </c>
      <c r="C191" s="22" t="s">
        <v>1165</v>
      </c>
      <c r="D191" s="22" t="s">
        <v>334</v>
      </c>
      <c r="E191" s="36" t="s">
        <v>946</v>
      </c>
      <c r="F191" s="36"/>
      <c r="G191" s="37"/>
      <c r="H191" s="36"/>
      <c r="I191" s="22" t="s">
        <v>335</v>
      </c>
    </row>
    <row r="192" spans="1:9">
      <c r="A192" s="22" t="s">
        <v>1109</v>
      </c>
      <c r="B192" s="36" t="s">
        <v>1004</v>
      </c>
      <c r="C192" s="22" t="s">
        <v>1166</v>
      </c>
      <c r="D192" s="22" t="s">
        <v>330</v>
      </c>
      <c r="E192" s="36" t="s">
        <v>946</v>
      </c>
      <c r="F192" s="36"/>
      <c r="G192" s="37"/>
      <c r="H192" s="36"/>
      <c r="I192" s="22" t="s">
        <v>331</v>
      </c>
    </row>
    <row r="193" spans="1:9">
      <c r="A193" s="22" t="s">
        <v>1109</v>
      </c>
      <c r="B193" s="36" t="s">
        <v>973</v>
      </c>
      <c r="C193" s="22" t="s">
        <v>1167</v>
      </c>
      <c r="D193" s="22" t="s">
        <v>60</v>
      </c>
      <c r="E193" s="36" t="s">
        <v>946</v>
      </c>
      <c r="F193" s="36"/>
      <c r="G193" s="37"/>
      <c r="H193" s="36"/>
      <c r="I193" s="22" t="s">
        <v>61</v>
      </c>
    </row>
    <row r="194" spans="1:9">
      <c r="A194" s="22" t="s">
        <v>1109</v>
      </c>
      <c r="B194" s="36" t="s">
        <v>973</v>
      </c>
      <c r="C194" s="22" t="s">
        <v>1168</v>
      </c>
      <c r="D194" s="22" t="s">
        <v>856</v>
      </c>
      <c r="E194" s="36" t="s">
        <v>946</v>
      </c>
      <c r="F194" s="36"/>
      <c r="G194" s="37"/>
      <c r="H194" s="36"/>
      <c r="I194" s="22" t="s">
        <v>857</v>
      </c>
    </row>
    <row r="195" spans="1:9">
      <c r="A195" s="22" t="s">
        <v>1109</v>
      </c>
      <c r="B195" s="36" t="s">
        <v>973</v>
      </c>
      <c r="C195" s="22" t="s">
        <v>1169</v>
      </c>
      <c r="D195" s="22" t="s">
        <v>872</v>
      </c>
      <c r="E195" s="36" t="s">
        <v>946</v>
      </c>
      <c r="F195" s="36"/>
      <c r="G195" s="37"/>
      <c r="H195" s="36"/>
      <c r="I195" s="22" t="s">
        <v>873</v>
      </c>
    </row>
    <row r="196" spans="1:9">
      <c r="A196" s="22" t="s">
        <v>1109</v>
      </c>
      <c r="B196" s="36" t="s">
        <v>973</v>
      </c>
      <c r="C196" s="22" t="s">
        <v>1170</v>
      </c>
      <c r="D196" s="22" t="s">
        <v>868</v>
      </c>
      <c r="E196" s="36" t="s">
        <v>946</v>
      </c>
      <c r="F196" s="36"/>
      <c r="G196" s="37"/>
      <c r="H196" s="36"/>
      <c r="I196" s="22" t="s">
        <v>869</v>
      </c>
    </row>
    <row r="197" spans="1:9">
      <c r="A197" s="22" t="s">
        <v>1109</v>
      </c>
      <c r="B197" s="36" t="s">
        <v>973</v>
      </c>
      <c r="C197" s="22" t="s">
        <v>1171</v>
      </c>
      <c r="D197" s="22" t="s">
        <v>750</v>
      </c>
      <c r="E197" s="36" t="s">
        <v>946</v>
      </c>
      <c r="F197" s="36"/>
      <c r="G197" s="37"/>
      <c r="H197" s="36"/>
      <c r="I197" s="22" t="s">
        <v>751</v>
      </c>
    </row>
    <row r="198" spans="1:9">
      <c r="A198" s="22" t="s">
        <v>1109</v>
      </c>
      <c r="B198" s="36" t="s">
        <v>973</v>
      </c>
      <c r="C198" s="22" t="s">
        <v>1172</v>
      </c>
      <c r="D198" s="22" t="s">
        <v>726</v>
      </c>
      <c r="E198" s="36" t="s">
        <v>946</v>
      </c>
      <c r="F198" s="36" t="s">
        <v>1078</v>
      </c>
      <c r="G198" s="37">
        <v>1E-3</v>
      </c>
      <c r="H198" s="36" t="s">
        <v>976</v>
      </c>
      <c r="I198" s="22" t="s">
        <v>727</v>
      </c>
    </row>
    <row r="199" spans="1:9">
      <c r="A199" s="22" t="s">
        <v>1109</v>
      </c>
      <c r="B199" s="36" t="s">
        <v>973</v>
      </c>
      <c r="C199" s="22" t="s">
        <v>1173</v>
      </c>
      <c r="D199" s="22" t="s">
        <v>808</v>
      </c>
      <c r="E199" s="36" t="s">
        <v>946</v>
      </c>
      <c r="F199" s="36"/>
      <c r="G199" s="37"/>
      <c r="H199" s="36"/>
      <c r="I199" s="22" t="s">
        <v>809</v>
      </c>
    </row>
    <row r="200" spans="1:9">
      <c r="A200" s="22" t="s">
        <v>1109</v>
      </c>
      <c r="B200" s="36" t="s">
        <v>990</v>
      </c>
      <c r="C200" s="22" t="s">
        <v>1174</v>
      </c>
      <c r="D200" s="22" t="s">
        <v>60</v>
      </c>
      <c r="E200" s="36" t="s">
        <v>992</v>
      </c>
      <c r="F200" s="36"/>
      <c r="G200" s="37"/>
      <c r="H200" s="36"/>
      <c r="I200" s="22" t="s">
        <v>61</v>
      </c>
    </row>
    <row r="201" spans="1:9">
      <c r="A201" s="22" t="s">
        <v>1109</v>
      </c>
      <c r="B201" s="36" t="s">
        <v>990</v>
      </c>
      <c r="C201" s="22" t="s">
        <v>1175</v>
      </c>
      <c r="D201" s="22" t="s">
        <v>856</v>
      </c>
      <c r="E201" s="36" t="s">
        <v>992</v>
      </c>
      <c r="F201" s="36"/>
      <c r="G201" s="37"/>
      <c r="H201" s="36"/>
      <c r="I201" s="22" t="s">
        <v>857</v>
      </c>
    </row>
    <row r="202" spans="1:9">
      <c r="A202" s="22" t="s">
        <v>1109</v>
      </c>
      <c r="B202" s="36" t="s">
        <v>990</v>
      </c>
      <c r="C202" s="22" t="s">
        <v>1176</v>
      </c>
      <c r="D202" s="22" t="s">
        <v>872</v>
      </c>
      <c r="E202" s="36" t="s">
        <v>992</v>
      </c>
      <c r="F202" s="36"/>
      <c r="G202" s="37"/>
      <c r="H202" s="36"/>
      <c r="I202" s="22" t="s">
        <v>873</v>
      </c>
    </row>
    <row r="203" spans="1:9">
      <c r="A203" s="22" t="s">
        <v>1109</v>
      </c>
      <c r="B203" s="36" t="s">
        <v>990</v>
      </c>
      <c r="C203" s="22" t="s">
        <v>1177</v>
      </c>
      <c r="D203" s="22" t="s">
        <v>868</v>
      </c>
      <c r="E203" s="36" t="s">
        <v>992</v>
      </c>
      <c r="F203" s="36"/>
      <c r="G203" s="37"/>
      <c r="H203" s="36"/>
      <c r="I203" s="22" t="s">
        <v>869</v>
      </c>
    </row>
    <row r="204" spans="1:9">
      <c r="A204" s="22" t="s">
        <v>1109</v>
      </c>
      <c r="B204" s="36" t="s">
        <v>990</v>
      </c>
      <c r="C204" s="22" t="s">
        <v>1178</v>
      </c>
      <c r="D204" s="22" t="s">
        <v>750</v>
      </c>
      <c r="E204" s="36" t="s">
        <v>992</v>
      </c>
      <c r="F204" s="36"/>
      <c r="G204" s="37"/>
      <c r="H204" s="36"/>
      <c r="I204" s="22" t="s">
        <v>751</v>
      </c>
    </row>
    <row r="205" spans="1:9">
      <c r="A205" s="22" t="s">
        <v>1109</v>
      </c>
      <c r="B205" s="36" t="s">
        <v>990</v>
      </c>
      <c r="C205" s="22" t="s">
        <v>1179</v>
      </c>
      <c r="D205" s="22" t="s">
        <v>726</v>
      </c>
      <c r="E205" s="36" t="s">
        <v>992</v>
      </c>
      <c r="F205" s="36" t="s">
        <v>1078</v>
      </c>
      <c r="G205" s="37">
        <v>1E-3</v>
      </c>
      <c r="H205" s="36" t="s">
        <v>976</v>
      </c>
      <c r="I205" s="22" t="s">
        <v>727</v>
      </c>
    </row>
    <row r="206" spans="1:9">
      <c r="A206" s="22" t="s">
        <v>1109</v>
      </c>
      <c r="B206" s="36" t="s">
        <v>990</v>
      </c>
      <c r="C206" s="22" t="s">
        <v>1180</v>
      </c>
      <c r="D206" s="22" t="s">
        <v>808</v>
      </c>
      <c r="E206" s="36" t="s">
        <v>992</v>
      </c>
      <c r="F206" s="36"/>
      <c r="G206" s="37"/>
      <c r="H206" s="36"/>
      <c r="I206" s="22" t="s">
        <v>809</v>
      </c>
    </row>
    <row r="207" spans="1:9">
      <c r="A207" s="22" t="s">
        <v>1109</v>
      </c>
      <c r="B207" s="36" t="s">
        <v>973</v>
      </c>
      <c r="C207" s="22" t="s">
        <v>1181</v>
      </c>
      <c r="D207" s="22" t="s">
        <v>904</v>
      </c>
      <c r="E207" s="36" t="s">
        <v>946</v>
      </c>
      <c r="F207" s="36" t="s">
        <v>1078</v>
      </c>
      <c r="G207" s="37">
        <v>1E-3</v>
      </c>
      <c r="H207" s="36" t="s">
        <v>976</v>
      </c>
      <c r="I207" s="22" t="s">
        <v>905</v>
      </c>
    </row>
    <row r="208" spans="1:9">
      <c r="A208" s="22" t="s">
        <v>1109</v>
      </c>
      <c r="B208" s="36" t="s">
        <v>990</v>
      </c>
      <c r="C208" s="22" t="s">
        <v>1182</v>
      </c>
      <c r="D208" s="22" t="s">
        <v>904</v>
      </c>
      <c r="E208" s="36" t="s">
        <v>992</v>
      </c>
      <c r="F208" s="36" t="s">
        <v>1078</v>
      </c>
      <c r="G208" s="37">
        <v>1E-3</v>
      </c>
      <c r="H208" s="36" t="s">
        <v>976</v>
      </c>
      <c r="I208" s="22" t="s">
        <v>905</v>
      </c>
    </row>
    <row r="209" spans="1:9">
      <c r="A209" s="51" t="s">
        <v>1183</v>
      </c>
      <c r="B209" s="52" t="s">
        <v>973</v>
      </c>
      <c r="C209" s="51" t="s">
        <v>1184</v>
      </c>
      <c r="D209" s="51" t="s">
        <v>591</v>
      </c>
      <c r="E209" s="52" t="s">
        <v>946</v>
      </c>
      <c r="F209" s="52"/>
      <c r="G209" s="53"/>
      <c r="H209" s="52"/>
      <c r="I209" s="51" t="s">
        <v>592</v>
      </c>
    </row>
    <row r="210" spans="1:9">
      <c r="A210" s="51" t="s">
        <v>1183</v>
      </c>
      <c r="B210" s="52" t="s">
        <v>973</v>
      </c>
      <c r="C210" s="51" t="s">
        <v>1185</v>
      </c>
      <c r="D210" s="51" t="s">
        <v>638</v>
      </c>
      <c r="E210" s="52" t="s">
        <v>946</v>
      </c>
      <c r="F210" s="52"/>
      <c r="G210" s="53"/>
      <c r="H210" s="52"/>
      <c r="I210" s="51" t="s">
        <v>639</v>
      </c>
    </row>
    <row r="211" spans="1:9">
      <c r="A211" s="51" t="s">
        <v>1183</v>
      </c>
      <c r="B211" s="52" t="s">
        <v>973</v>
      </c>
      <c r="C211" s="51" t="s">
        <v>1186</v>
      </c>
      <c r="D211" s="51" t="s">
        <v>38</v>
      </c>
      <c r="E211" s="52" t="s">
        <v>946</v>
      </c>
      <c r="F211" s="52"/>
      <c r="G211" s="53"/>
      <c r="H211" s="52"/>
      <c r="I211" s="51" t="s">
        <v>39</v>
      </c>
    </row>
    <row r="212" spans="1:9">
      <c r="A212" s="51" t="s">
        <v>1183</v>
      </c>
      <c r="B212" s="52" t="s">
        <v>990</v>
      </c>
      <c r="C212" s="51" t="s">
        <v>1187</v>
      </c>
      <c r="D212" s="51" t="s">
        <v>591</v>
      </c>
      <c r="E212" s="52" t="s">
        <v>992</v>
      </c>
      <c r="F212" s="52"/>
      <c r="G212" s="53"/>
      <c r="H212" s="52"/>
      <c r="I212" s="51" t="s">
        <v>592</v>
      </c>
    </row>
    <row r="213" spans="1:9">
      <c r="A213" s="51" t="s">
        <v>1183</v>
      </c>
      <c r="B213" s="52" t="s">
        <v>990</v>
      </c>
      <c r="C213" s="51" t="s">
        <v>1188</v>
      </c>
      <c r="D213" s="51" t="s">
        <v>638</v>
      </c>
      <c r="E213" s="52" t="s">
        <v>992</v>
      </c>
      <c r="F213" s="52"/>
      <c r="G213" s="53"/>
      <c r="H213" s="52"/>
      <c r="I213" s="51" t="s">
        <v>639</v>
      </c>
    </row>
    <row r="214" spans="1:9">
      <c r="A214" s="51" t="s">
        <v>1183</v>
      </c>
      <c r="B214" s="52" t="s">
        <v>990</v>
      </c>
      <c r="C214" s="51" t="s">
        <v>1189</v>
      </c>
      <c r="D214" s="51" t="s">
        <v>38</v>
      </c>
      <c r="E214" s="52" t="s">
        <v>992</v>
      </c>
      <c r="F214" s="52"/>
      <c r="G214" s="53"/>
      <c r="H214" s="52"/>
      <c r="I214" s="51" t="s">
        <v>39</v>
      </c>
    </row>
    <row r="215" spans="1:9">
      <c r="A215" s="51" t="s">
        <v>1183</v>
      </c>
      <c r="B215" s="52" t="s">
        <v>1004</v>
      </c>
      <c r="C215" s="51" t="s">
        <v>1190</v>
      </c>
      <c r="D215" s="51" t="s">
        <v>406</v>
      </c>
      <c r="E215" s="52" t="s">
        <v>946</v>
      </c>
      <c r="F215" s="52"/>
      <c r="G215" s="53"/>
      <c r="H215" s="52"/>
      <c r="I215" s="51" t="s">
        <v>407</v>
      </c>
    </row>
    <row r="216" spans="1:9">
      <c r="A216" s="51" t="s">
        <v>1183</v>
      </c>
      <c r="B216" s="52" t="s">
        <v>1004</v>
      </c>
      <c r="C216" s="51" t="s">
        <v>1191</v>
      </c>
      <c r="D216" s="51" t="s">
        <v>372</v>
      </c>
      <c r="E216" s="52" t="s">
        <v>946</v>
      </c>
      <c r="F216" s="52"/>
      <c r="G216" s="53"/>
      <c r="H216" s="52"/>
      <c r="I216" s="51" t="s">
        <v>373</v>
      </c>
    </row>
    <row r="217" spans="1:9">
      <c r="A217" s="51" t="s">
        <v>1183</v>
      </c>
      <c r="B217" s="52" t="s">
        <v>1004</v>
      </c>
      <c r="C217" s="51" t="s">
        <v>1192</v>
      </c>
      <c r="D217" s="51" t="s">
        <v>304</v>
      </c>
      <c r="E217" s="52" t="s">
        <v>946</v>
      </c>
      <c r="F217" s="52"/>
      <c r="G217" s="53"/>
      <c r="H217" s="52"/>
      <c r="I217" s="51" t="s">
        <v>305</v>
      </c>
    </row>
    <row r="218" spans="1:9">
      <c r="A218" s="48" t="s">
        <v>1193</v>
      </c>
      <c r="B218" s="49" t="s">
        <v>973</v>
      </c>
      <c r="C218" s="48" t="s">
        <v>1194</v>
      </c>
      <c r="D218" s="48" t="s">
        <v>128</v>
      </c>
      <c r="E218" s="49" t="s">
        <v>946</v>
      </c>
      <c r="F218" s="49" t="s">
        <v>975</v>
      </c>
      <c r="G218" s="50">
        <v>0.27777999999999997</v>
      </c>
      <c r="H218" s="49" t="s">
        <v>976</v>
      </c>
      <c r="I218" s="48" t="s">
        <v>129</v>
      </c>
    </row>
    <row r="219" spans="1:9">
      <c r="A219" s="48" t="s">
        <v>1193</v>
      </c>
      <c r="B219" s="49" t="s">
        <v>990</v>
      </c>
      <c r="C219" s="48" t="s">
        <v>1195</v>
      </c>
      <c r="D219" s="48" t="s">
        <v>128</v>
      </c>
      <c r="E219" s="49" t="s">
        <v>992</v>
      </c>
      <c r="F219" s="49" t="s">
        <v>975</v>
      </c>
      <c r="G219" s="50">
        <v>0.27777999999999997</v>
      </c>
      <c r="H219" s="49" t="s">
        <v>976</v>
      </c>
      <c r="I219" s="48" t="s">
        <v>129</v>
      </c>
    </row>
    <row r="220" spans="1:9">
      <c r="A220" s="48" t="s">
        <v>1193</v>
      </c>
      <c r="B220" s="49" t="s">
        <v>973</v>
      </c>
      <c r="C220" s="48" t="s">
        <v>1196</v>
      </c>
      <c r="D220" s="48" t="s">
        <v>640</v>
      </c>
      <c r="E220" s="49" t="s">
        <v>946</v>
      </c>
      <c r="F220" s="49"/>
      <c r="G220" s="50"/>
      <c r="H220" s="49"/>
      <c r="I220" s="48" t="s">
        <v>641</v>
      </c>
    </row>
    <row r="221" spans="1:9">
      <c r="A221" s="48" t="s">
        <v>1193</v>
      </c>
      <c r="B221" s="49" t="s">
        <v>990</v>
      </c>
      <c r="C221" s="48" t="s">
        <v>1197</v>
      </c>
      <c r="D221" s="48" t="s">
        <v>640</v>
      </c>
      <c r="E221" s="49" t="s">
        <v>992</v>
      </c>
      <c r="F221" s="49"/>
      <c r="G221" s="50"/>
      <c r="H221" s="49"/>
      <c r="I221" s="48" t="s">
        <v>641</v>
      </c>
    </row>
    <row r="222" spans="1:9">
      <c r="A222" s="48" t="s">
        <v>1193</v>
      </c>
      <c r="B222" s="49" t="s">
        <v>1004</v>
      </c>
      <c r="C222" s="48" t="s">
        <v>1198</v>
      </c>
      <c r="D222" s="48" t="s">
        <v>511</v>
      </c>
      <c r="E222" s="49" t="s">
        <v>946</v>
      </c>
      <c r="F222" s="49"/>
      <c r="G222" s="50"/>
      <c r="H222" s="49"/>
      <c r="I222" s="48" t="s">
        <v>512</v>
      </c>
    </row>
  </sheetData>
  <autoFilter ref="A1:I222" xr:uid="{B67F59C8-C9CD-4BE3-BEDE-47D9AC410F3D}"/>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8588-B5F4-4C7D-B1CC-C8B91AE85B2C}">
  <dimension ref="A1:E17"/>
  <sheetViews>
    <sheetView showGridLines="0" tabSelected="1" zoomScale="115" zoomScaleNormal="115" workbookViewId="0">
      <selection activeCell="D18" sqref="D18"/>
    </sheetView>
  </sheetViews>
  <sheetFormatPr defaultRowHeight="14.45"/>
  <cols>
    <col min="1" max="1" width="11.42578125" customWidth="1"/>
    <col min="2" max="2" width="27.140625" customWidth="1"/>
    <col min="3" max="3" width="43.28515625" customWidth="1"/>
    <col min="4" max="4" width="25.28515625" customWidth="1"/>
    <col min="5" max="5" width="40.42578125" customWidth="1"/>
  </cols>
  <sheetData>
    <row r="1" spans="1:5">
      <c r="A1" s="19" t="s">
        <v>1199</v>
      </c>
      <c r="B1" s="19" t="s">
        <v>1200</v>
      </c>
      <c r="C1" s="19" t="s">
        <v>1201</v>
      </c>
      <c r="D1" s="19" t="s">
        <v>1202</v>
      </c>
      <c r="E1" s="19" t="s">
        <v>1203</v>
      </c>
    </row>
    <row r="2" spans="1:5">
      <c r="A2" s="26" t="s">
        <v>1204</v>
      </c>
      <c r="B2" s="26" t="s">
        <v>1205</v>
      </c>
      <c r="C2" s="26" t="s">
        <v>615</v>
      </c>
      <c r="D2" s="26" t="s">
        <v>1206</v>
      </c>
      <c r="E2" s="26" t="s">
        <v>1207</v>
      </c>
    </row>
    <row r="3" spans="1:5">
      <c r="A3" s="26" t="s">
        <v>1204</v>
      </c>
      <c r="B3" s="26" t="s">
        <v>1208</v>
      </c>
      <c r="C3" s="26" t="s">
        <v>902</v>
      </c>
      <c r="D3" s="26" t="s">
        <v>1206</v>
      </c>
      <c r="E3" s="26" t="s">
        <v>1209</v>
      </c>
    </row>
    <row r="4" spans="1:5">
      <c r="A4" s="26" t="s">
        <v>1204</v>
      </c>
      <c r="B4" s="26" t="s">
        <v>1210</v>
      </c>
      <c r="C4" s="26" t="s">
        <v>756</v>
      </c>
      <c r="D4" s="26" t="s">
        <v>1206</v>
      </c>
      <c r="E4" s="26" t="s">
        <v>1211</v>
      </c>
    </row>
    <row r="5" spans="1:5">
      <c r="A5" s="26" t="s">
        <v>1204</v>
      </c>
      <c r="B5" s="26" t="s">
        <v>1212</v>
      </c>
      <c r="C5" s="26" t="s">
        <v>775</v>
      </c>
      <c r="D5" s="26" t="s">
        <v>1206</v>
      </c>
      <c r="E5" s="26" t="s">
        <v>1213</v>
      </c>
    </row>
    <row r="6" spans="1:5">
      <c r="A6" s="26" t="s">
        <v>1204</v>
      </c>
      <c r="B6" s="26" t="s">
        <v>1214</v>
      </c>
      <c r="C6" s="21" t="s">
        <v>1215</v>
      </c>
      <c r="D6" s="26" t="s">
        <v>1216</v>
      </c>
      <c r="E6" s="26" t="s">
        <v>1217</v>
      </c>
    </row>
    <row r="7" spans="1:5" ht="26.1">
      <c r="A7" s="26" t="s">
        <v>1204</v>
      </c>
      <c r="B7" s="26" t="s">
        <v>1218</v>
      </c>
      <c r="C7" s="27" t="s">
        <v>1219</v>
      </c>
      <c r="D7" s="26" t="s">
        <v>1216</v>
      </c>
      <c r="E7" s="26" t="s">
        <v>1220</v>
      </c>
    </row>
    <row r="8" spans="1:5">
      <c r="A8" s="28" t="s">
        <v>1204</v>
      </c>
      <c r="B8" s="28" t="s">
        <v>1221</v>
      </c>
      <c r="C8" s="28" t="s">
        <v>928</v>
      </c>
      <c r="D8" s="26" t="s">
        <v>1206</v>
      </c>
      <c r="E8" s="28" t="s">
        <v>1222</v>
      </c>
    </row>
    <row r="9" spans="1:5">
      <c r="A9" s="29" t="s">
        <v>1223</v>
      </c>
      <c r="B9" s="29" t="s">
        <v>1224</v>
      </c>
      <c r="C9" s="29" t="s">
        <v>1225</v>
      </c>
      <c r="D9" s="30" t="s">
        <v>1216</v>
      </c>
      <c r="E9" s="29" t="s">
        <v>1226</v>
      </c>
    </row>
    <row r="10" spans="1:5">
      <c r="A10" s="29" t="s">
        <v>1223</v>
      </c>
      <c r="B10" s="29" t="s">
        <v>1227</v>
      </c>
      <c r="C10" s="29" t="s">
        <v>722</v>
      </c>
      <c r="D10" s="29" t="s">
        <v>1228</v>
      </c>
      <c r="E10" s="29" t="s">
        <v>1229</v>
      </c>
    </row>
    <row r="11" spans="1:5">
      <c r="A11" s="29" t="s">
        <v>1223</v>
      </c>
      <c r="B11" s="29" t="s">
        <v>1230</v>
      </c>
      <c r="C11" s="29" t="s">
        <v>1231</v>
      </c>
      <c r="D11" s="30" t="s">
        <v>1216</v>
      </c>
      <c r="E11" s="29" t="s">
        <v>1232</v>
      </c>
    </row>
    <row r="12" spans="1:5">
      <c r="A12" s="29" t="s">
        <v>1223</v>
      </c>
      <c r="B12" s="29" t="s">
        <v>1233</v>
      </c>
      <c r="C12" s="29" t="s">
        <v>38</v>
      </c>
      <c r="D12" s="30" t="s">
        <v>1216</v>
      </c>
      <c r="E12" s="29" t="s">
        <v>1234</v>
      </c>
    </row>
    <row r="13" spans="1:5">
      <c r="A13" s="29" t="s">
        <v>1223</v>
      </c>
      <c r="B13" s="29" t="s">
        <v>1235</v>
      </c>
      <c r="C13" s="29" t="s">
        <v>105</v>
      </c>
      <c r="D13" s="30" t="s">
        <v>1216</v>
      </c>
      <c r="E13" s="29" t="s">
        <v>1236</v>
      </c>
    </row>
    <row r="14" spans="1:5">
      <c r="A14" s="31" t="s">
        <v>1237</v>
      </c>
      <c r="B14" s="31" t="s">
        <v>1238</v>
      </c>
      <c r="C14" s="31" t="s">
        <v>638</v>
      </c>
      <c r="D14" s="31" t="s">
        <v>1239</v>
      </c>
      <c r="E14" s="31" t="s">
        <v>1240</v>
      </c>
    </row>
    <row r="15" spans="1:5">
      <c r="A15" s="32" t="s">
        <v>1241</v>
      </c>
      <c r="B15" s="32" t="s">
        <v>1242</v>
      </c>
      <c r="C15" s="32" t="s">
        <v>124</v>
      </c>
      <c r="D15" s="32" t="s">
        <v>1243</v>
      </c>
      <c r="E15" s="32" t="s">
        <v>1244</v>
      </c>
    </row>
    <row r="16" spans="1:5">
      <c r="A16" s="32" t="s">
        <v>1241</v>
      </c>
      <c r="B16" s="32" t="s">
        <v>1245</v>
      </c>
      <c r="C16" s="32" t="s">
        <v>124</v>
      </c>
      <c r="D16" s="32" t="s">
        <v>1246</v>
      </c>
      <c r="E16" s="32" t="s">
        <v>1247</v>
      </c>
    </row>
    <row r="17" spans="1:5">
      <c r="A17" s="32" t="s">
        <v>1241</v>
      </c>
      <c r="B17" s="32" t="s">
        <v>1248</v>
      </c>
      <c r="C17" s="32" t="s">
        <v>124</v>
      </c>
      <c r="D17" s="32" t="s">
        <v>1249</v>
      </c>
      <c r="E17" s="32" t="s">
        <v>1250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1015-8851-4737-B2BB-E3CFB58176C9}">
  <dimension ref="A1:E22"/>
  <sheetViews>
    <sheetView workbookViewId="0">
      <selection activeCell="D16" sqref="D16"/>
    </sheetView>
  </sheetViews>
  <sheetFormatPr defaultRowHeight="14.45"/>
  <sheetData>
    <row r="1" spans="1:5">
      <c r="A1" t="s">
        <v>1251</v>
      </c>
    </row>
    <row r="2" spans="1:5">
      <c r="A2" t="s">
        <v>1252</v>
      </c>
      <c r="B2">
        <v>3.73E-2</v>
      </c>
      <c r="C2" t="s">
        <v>1087</v>
      </c>
      <c r="D2">
        <f>B2*B3</f>
        <v>10.361193999999999</v>
      </c>
      <c r="E2" t="s">
        <v>976</v>
      </c>
    </row>
    <row r="3" spans="1:5">
      <c r="A3" t="s">
        <v>1253</v>
      </c>
      <c r="B3">
        <v>277.77999999999997</v>
      </c>
      <c r="C3" t="s">
        <v>976</v>
      </c>
    </row>
    <row r="5" spans="1:5">
      <c r="A5" t="s">
        <v>1254</v>
      </c>
    </row>
    <row r="6" spans="1:5">
      <c r="A6" t="s">
        <v>1255</v>
      </c>
      <c r="B6">
        <v>1E-3</v>
      </c>
      <c r="C6" t="s">
        <v>1087</v>
      </c>
      <c r="D6">
        <f>B6*B7</f>
        <v>0.27777999999999997</v>
      </c>
      <c r="E6" t="s">
        <v>976</v>
      </c>
    </row>
    <row r="7" spans="1:5">
      <c r="A7" t="s">
        <v>1253</v>
      </c>
      <c r="B7">
        <v>277.77999999999997</v>
      </c>
      <c r="C7" t="s">
        <v>976</v>
      </c>
    </row>
    <row r="9" spans="1:5">
      <c r="A9" t="s">
        <v>1256</v>
      </c>
    </row>
    <row r="10" spans="1:5">
      <c r="A10" t="s">
        <v>1257</v>
      </c>
      <c r="B10">
        <v>1E-3</v>
      </c>
      <c r="C10" t="s">
        <v>970</v>
      </c>
      <c r="D10">
        <f>B10*B11*B12</f>
        <v>10.200081599999999</v>
      </c>
      <c r="E10" t="s">
        <v>976</v>
      </c>
    </row>
    <row r="11" spans="1:5">
      <c r="A11" t="s">
        <v>1258</v>
      </c>
      <c r="B11">
        <v>36.72</v>
      </c>
      <c r="C11" t="s">
        <v>1087</v>
      </c>
    </row>
    <row r="12" spans="1:5">
      <c r="A12" t="s">
        <v>1259</v>
      </c>
      <c r="B12">
        <v>277.77999999999997</v>
      </c>
      <c r="C12" t="s">
        <v>976</v>
      </c>
    </row>
    <row r="14" spans="1:5">
      <c r="A14" t="s">
        <v>1260</v>
      </c>
    </row>
    <row r="15" spans="1:5">
      <c r="A15" t="s">
        <v>1257</v>
      </c>
      <c r="B15">
        <v>1E-3</v>
      </c>
      <c r="C15" t="s">
        <v>970</v>
      </c>
      <c r="D15">
        <f>B15*B16*B17</f>
        <v>7.0917233999999993</v>
      </c>
      <c r="E15" t="s">
        <v>976</v>
      </c>
    </row>
    <row r="16" spans="1:5">
      <c r="A16" t="s">
        <v>1258</v>
      </c>
      <c r="B16">
        <v>25.53</v>
      </c>
      <c r="C16" t="s">
        <v>1087</v>
      </c>
    </row>
    <row r="17" spans="1:5">
      <c r="A17" t="s">
        <v>1259</v>
      </c>
      <c r="B17">
        <v>277.77999999999997</v>
      </c>
      <c r="C17" t="s">
        <v>976</v>
      </c>
    </row>
    <row r="19" spans="1:5">
      <c r="A19" t="s">
        <v>1261</v>
      </c>
    </row>
    <row r="20" spans="1:5">
      <c r="A20" t="s">
        <v>1262</v>
      </c>
      <c r="B20">
        <v>1000</v>
      </c>
      <c r="C20" t="s">
        <v>1263</v>
      </c>
      <c r="D20">
        <f>B20*B21*B22</f>
        <v>4166.7</v>
      </c>
      <c r="E20" t="s">
        <v>976</v>
      </c>
    </row>
    <row r="21" spans="1:5">
      <c r="A21" t="s">
        <v>1264</v>
      </c>
      <c r="B21">
        <v>15</v>
      </c>
      <c r="C21" t="s">
        <v>975</v>
      </c>
    </row>
    <row r="22" spans="1:5">
      <c r="A22" t="s">
        <v>1255</v>
      </c>
      <c r="B22">
        <f>D6</f>
        <v>0.27777999999999997</v>
      </c>
      <c r="C22" t="s">
        <v>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0459B-0FC5-4A91-B551-9B0FB7C65415}">
  <dimension ref="A1:Q18"/>
  <sheetViews>
    <sheetView workbookViewId="0">
      <selection activeCell="I15" sqref="I15"/>
    </sheetView>
  </sheetViews>
  <sheetFormatPr defaultRowHeight="14.45"/>
  <cols>
    <col min="2" max="2" width="25" bestFit="1" customWidth="1"/>
  </cols>
  <sheetData>
    <row r="1" spans="1:17">
      <c r="A1" t="s">
        <v>1265</v>
      </c>
    </row>
    <row r="5" spans="1:17">
      <c r="A5" t="s">
        <v>1266</v>
      </c>
      <c r="D5" t="s">
        <v>1267</v>
      </c>
      <c r="G5" t="s">
        <v>1268</v>
      </c>
      <c r="J5" t="s">
        <v>1269</v>
      </c>
      <c r="M5" t="s">
        <v>1270</v>
      </c>
      <c r="P5" t="s">
        <v>1271</v>
      </c>
    </row>
    <row r="6" spans="1:17">
      <c r="A6" t="s">
        <v>1272</v>
      </c>
      <c r="B6" t="s">
        <v>936</v>
      </c>
      <c r="D6" t="s">
        <v>1272</v>
      </c>
      <c r="E6" t="s">
        <v>936</v>
      </c>
      <c r="G6" t="s">
        <v>1272</v>
      </c>
      <c r="H6" t="s">
        <v>936</v>
      </c>
      <c r="J6" t="s">
        <v>1272</v>
      </c>
      <c r="K6" t="s">
        <v>936</v>
      </c>
      <c r="M6" t="s">
        <v>1272</v>
      </c>
      <c r="N6" t="s">
        <v>936</v>
      </c>
      <c r="P6" t="s">
        <v>1272</v>
      </c>
      <c r="Q6" t="s">
        <v>936</v>
      </c>
    </row>
    <row r="7" spans="1:17">
      <c r="A7">
        <v>1</v>
      </c>
      <c r="B7" t="s">
        <v>1273</v>
      </c>
      <c r="D7">
        <v>0</v>
      </c>
      <c r="E7" t="s">
        <v>1274</v>
      </c>
      <c r="G7">
        <v>0</v>
      </c>
      <c r="H7" t="s">
        <v>1275</v>
      </c>
      <c r="J7">
        <v>0</v>
      </c>
      <c r="K7" t="s">
        <v>1276</v>
      </c>
      <c r="M7">
        <v>0</v>
      </c>
      <c r="N7" t="s">
        <v>1277</v>
      </c>
      <c r="P7">
        <v>0</v>
      </c>
      <c r="Q7" t="s">
        <v>1278</v>
      </c>
    </row>
    <row r="8" spans="1:17">
      <c r="A8">
        <v>2</v>
      </c>
      <c r="B8" t="s">
        <v>1279</v>
      </c>
      <c r="D8">
        <v>1</v>
      </c>
      <c r="E8" t="s">
        <v>1280</v>
      </c>
      <c r="G8">
        <v>1</v>
      </c>
      <c r="H8" t="s">
        <v>1281</v>
      </c>
      <c r="J8">
        <v>1</v>
      </c>
      <c r="K8" t="s">
        <v>1282</v>
      </c>
      <c r="M8">
        <v>1</v>
      </c>
      <c r="N8" t="s">
        <v>1283</v>
      </c>
      <c r="P8">
        <v>1</v>
      </c>
      <c r="Q8" t="s">
        <v>1284</v>
      </c>
    </row>
    <row r="9" spans="1:17">
      <c r="A9">
        <v>3</v>
      </c>
      <c r="B9" t="s">
        <v>1285</v>
      </c>
      <c r="D9">
        <v>2</v>
      </c>
      <c r="E9" t="s">
        <v>1286</v>
      </c>
      <c r="G9">
        <v>2</v>
      </c>
      <c r="H9" t="s">
        <v>1287</v>
      </c>
      <c r="J9">
        <v>2</v>
      </c>
      <c r="K9" t="s">
        <v>1288</v>
      </c>
      <c r="M9">
        <v>2</v>
      </c>
      <c r="N9" t="s">
        <v>1289</v>
      </c>
      <c r="P9">
        <v>2</v>
      </c>
      <c r="Q9" t="s">
        <v>1261</v>
      </c>
    </row>
    <row r="10" spans="1:17">
      <c r="A10">
        <v>4</v>
      </c>
      <c r="B10" t="s">
        <v>1290</v>
      </c>
      <c r="D10">
        <v>3</v>
      </c>
      <c r="E10" t="s">
        <v>1291</v>
      </c>
      <c r="G10">
        <v>3</v>
      </c>
      <c r="H10" t="s">
        <v>1292</v>
      </c>
      <c r="M10">
        <v>3</v>
      </c>
      <c r="N10" t="s">
        <v>1293</v>
      </c>
      <c r="P10">
        <v>3</v>
      </c>
      <c r="Q10" t="s">
        <v>1294</v>
      </c>
    </row>
    <row r="11" spans="1:17">
      <c r="A11">
        <v>5</v>
      </c>
      <c r="B11" t="s">
        <v>1295</v>
      </c>
      <c r="D11">
        <v>4</v>
      </c>
      <c r="E11" t="s">
        <v>1296</v>
      </c>
      <c r="G11">
        <v>4</v>
      </c>
      <c r="H11" t="s">
        <v>1297</v>
      </c>
      <c r="M11">
        <v>4</v>
      </c>
      <c r="N11" t="s">
        <v>1298</v>
      </c>
      <c r="P11">
        <v>4</v>
      </c>
      <c r="Q11" t="s">
        <v>1299</v>
      </c>
    </row>
    <row r="12" spans="1:17">
      <c r="A12">
        <v>6</v>
      </c>
      <c r="B12" t="s">
        <v>1300</v>
      </c>
      <c r="D12">
        <v>5</v>
      </c>
      <c r="E12" t="s">
        <v>1301</v>
      </c>
      <c r="G12">
        <v>5</v>
      </c>
      <c r="H12" t="s">
        <v>1302</v>
      </c>
      <c r="M12">
        <v>5</v>
      </c>
      <c r="N12" t="s">
        <v>1303</v>
      </c>
      <c r="P12">
        <v>5</v>
      </c>
      <c r="Q12" t="s">
        <v>1304</v>
      </c>
    </row>
    <row r="13" spans="1:17">
      <c r="A13">
        <v>7</v>
      </c>
      <c r="B13" t="s">
        <v>1305</v>
      </c>
      <c r="D13">
        <v>6</v>
      </c>
      <c r="E13" t="s">
        <v>1306</v>
      </c>
      <c r="G13">
        <v>6</v>
      </c>
      <c r="H13" t="s">
        <v>1307</v>
      </c>
    </row>
    <row r="14" spans="1:17">
      <c r="A14">
        <v>8</v>
      </c>
      <c r="B14" t="s">
        <v>1308</v>
      </c>
      <c r="D14">
        <v>7</v>
      </c>
      <c r="E14" t="s">
        <v>1309</v>
      </c>
    </row>
    <row r="15" spans="1:17">
      <c r="D15">
        <v>8</v>
      </c>
      <c r="E15" t="s">
        <v>1310</v>
      </c>
    </row>
    <row r="16" spans="1:17">
      <c r="D16">
        <v>9</v>
      </c>
      <c r="E16" t="s">
        <v>1311</v>
      </c>
    </row>
    <row r="17" spans="4:5">
      <c r="D17" t="s">
        <v>1312</v>
      </c>
      <c r="E17" t="s">
        <v>1313</v>
      </c>
    </row>
    <row r="18" spans="4:5">
      <c r="D18" t="s">
        <v>1314</v>
      </c>
      <c r="E18" t="s">
        <v>1315</v>
      </c>
    </row>
  </sheetData>
  <pageMargins left="0.7" right="0.7" top="0.75" bottom="0.75" header="0.3" footer="0.3"/>
  <headerFooter>
    <oddHeader>&amp;R&amp;"Aptos"&amp;12&amp;K000000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C6C7-AF6D-43C8-A1B2-FF632F1CF6FF}">
  <dimension ref="A1:B7"/>
  <sheetViews>
    <sheetView workbookViewId="0">
      <selection activeCell="C22" sqref="C22"/>
    </sheetView>
  </sheetViews>
  <sheetFormatPr defaultRowHeight="14.45"/>
  <sheetData>
    <row r="1" spans="1:2">
      <c r="A1" t="s">
        <v>1272</v>
      </c>
      <c r="B1" t="s">
        <v>936</v>
      </c>
    </row>
    <row r="2" spans="1:2">
      <c r="A2">
        <v>0</v>
      </c>
      <c r="B2" t="s">
        <v>1278</v>
      </c>
    </row>
    <row r="3" spans="1:2">
      <c r="A3">
        <v>1</v>
      </c>
      <c r="B3" t="s">
        <v>1284</v>
      </c>
    </row>
    <row r="4" spans="1:2">
      <c r="A4">
        <v>2</v>
      </c>
      <c r="B4" t="s">
        <v>1261</v>
      </c>
    </row>
    <row r="5" spans="1:2">
      <c r="A5">
        <v>3</v>
      </c>
      <c r="B5" t="s">
        <v>1294</v>
      </c>
    </row>
    <row r="6" spans="1:2">
      <c r="A6">
        <v>4</v>
      </c>
      <c r="B6" t="s">
        <v>1299</v>
      </c>
    </row>
    <row r="7" spans="1:2">
      <c r="A7">
        <v>5</v>
      </c>
      <c r="B7" t="s">
        <v>1304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52D1-E5B6-4190-8537-BD69DD063A4A}">
  <dimension ref="A1:B7"/>
  <sheetViews>
    <sheetView workbookViewId="0">
      <selection activeCell="C22" sqref="C22"/>
    </sheetView>
  </sheetViews>
  <sheetFormatPr defaultRowHeight="14.45"/>
  <sheetData>
    <row r="1" spans="1:2">
      <c r="A1" t="s">
        <v>1272</v>
      </c>
      <c r="B1" t="s">
        <v>936</v>
      </c>
    </row>
    <row r="2" spans="1:2">
      <c r="A2">
        <v>0</v>
      </c>
      <c r="B2" t="s">
        <v>1277</v>
      </c>
    </row>
    <row r="3" spans="1:2">
      <c r="A3">
        <v>1</v>
      </c>
      <c r="B3" t="s">
        <v>1283</v>
      </c>
    </row>
    <row r="4" spans="1:2">
      <c r="A4">
        <v>2</v>
      </c>
      <c r="B4" t="s">
        <v>1289</v>
      </c>
    </row>
    <row r="5" spans="1:2">
      <c r="A5">
        <v>3</v>
      </c>
      <c r="B5" t="s">
        <v>1293</v>
      </c>
    </row>
    <row r="6" spans="1:2">
      <c r="A6">
        <v>4</v>
      </c>
      <c r="B6" t="s">
        <v>1298</v>
      </c>
    </row>
    <row r="7" spans="1:2">
      <c r="A7">
        <v>5</v>
      </c>
      <c r="B7" t="s">
        <v>1303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4E556-361D-4F1B-8FD5-68F7FFE42EAC}">
  <dimension ref="A1:B4"/>
  <sheetViews>
    <sheetView workbookViewId="0">
      <selection activeCell="C22" sqref="C22"/>
    </sheetView>
  </sheetViews>
  <sheetFormatPr defaultRowHeight="14.45"/>
  <sheetData>
    <row r="1" spans="1:2">
      <c r="A1" t="s">
        <v>1272</v>
      </c>
      <c r="B1" t="s">
        <v>936</v>
      </c>
    </row>
    <row r="2" spans="1:2">
      <c r="A2">
        <v>0</v>
      </c>
      <c r="B2" t="s">
        <v>1276</v>
      </c>
    </row>
    <row r="3" spans="1:2">
      <c r="A3">
        <v>1</v>
      </c>
      <c r="B3" t="s">
        <v>1282</v>
      </c>
    </row>
    <row r="4" spans="1:2">
      <c r="A4">
        <v>2</v>
      </c>
      <c r="B4" t="s">
        <v>1288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2A59-31E9-40F4-8DD1-91CAA6CB4A75}">
  <dimension ref="A1:B8"/>
  <sheetViews>
    <sheetView workbookViewId="0">
      <selection activeCell="C22" sqref="C22"/>
    </sheetView>
  </sheetViews>
  <sheetFormatPr defaultRowHeight="14.45"/>
  <sheetData>
    <row r="1" spans="1:2">
      <c r="A1" t="s">
        <v>1272</v>
      </c>
      <c r="B1" t="s">
        <v>936</v>
      </c>
    </row>
    <row r="2" spans="1:2">
      <c r="A2">
        <v>0</v>
      </c>
      <c r="B2" t="s">
        <v>1275</v>
      </c>
    </row>
    <row r="3" spans="1:2">
      <c r="A3">
        <v>1</v>
      </c>
      <c r="B3" t="s">
        <v>1281</v>
      </c>
    </row>
    <row r="4" spans="1:2">
      <c r="A4">
        <v>2</v>
      </c>
      <c r="B4" t="s">
        <v>1287</v>
      </c>
    </row>
    <row r="5" spans="1:2">
      <c r="A5">
        <v>3</v>
      </c>
      <c r="B5" t="s">
        <v>1292</v>
      </c>
    </row>
    <row r="6" spans="1:2">
      <c r="A6">
        <v>4</v>
      </c>
      <c r="B6" t="s">
        <v>1297</v>
      </c>
    </row>
    <row r="7" spans="1:2">
      <c r="A7">
        <v>5</v>
      </c>
      <c r="B7" t="s">
        <v>1302</v>
      </c>
    </row>
    <row r="8" spans="1:2">
      <c r="A8">
        <v>6</v>
      </c>
      <c r="B8" t="s">
        <v>1307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F178-95AA-460A-ACD9-8337D81B424B}">
  <dimension ref="A1:B13"/>
  <sheetViews>
    <sheetView workbookViewId="0">
      <selection activeCell="C22" sqref="C22"/>
    </sheetView>
  </sheetViews>
  <sheetFormatPr defaultRowHeight="14.45"/>
  <sheetData>
    <row r="1" spans="1:2">
      <c r="A1" t="s">
        <v>1272</v>
      </c>
      <c r="B1" t="s">
        <v>936</v>
      </c>
    </row>
    <row r="2" spans="1:2">
      <c r="A2">
        <v>0</v>
      </c>
      <c r="B2" t="s">
        <v>1274</v>
      </c>
    </row>
    <row r="3" spans="1:2">
      <c r="A3">
        <v>1</v>
      </c>
      <c r="B3" t="s">
        <v>1280</v>
      </c>
    </row>
    <row r="4" spans="1:2">
      <c r="A4">
        <v>2</v>
      </c>
      <c r="B4" t="s">
        <v>1286</v>
      </c>
    </row>
    <row r="5" spans="1:2">
      <c r="A5">
        <v>3</v>
      </c>
      <c r="B5" t="s">
        <v>1291</v>
      </c>
    </row>
    <row r="6" spans="1:2">
      <c r="A6">
        <v>4</v>
      </c>
      <c r="B6" t="s">
        <v>1296</v>
      </c>
    </row>
    <row r="7" spans="1:2">
      <c r="A7">
        <v>5</v>
      </c>
      <c r="B7" t="s">
        <v>1301</v>
      </c>
    </row>
    <row r="8" spans="1:2">
      <c r="A8">
        <v>6</v>
      </c>
      <c r="B8" t="s">
        <v>1306</v>
      </c>
    </row>
    <row r="9" spans="1:2">
      <c r="A9">
        <v>7</v>
      </c>
      <c r="B9" t="s">
        <v>1309</v>
      </c>
    </row>
    <row r="10" spans="1:2">
      <c r="A10">
        <v>8</v>
      </c>
      <c r="B10" t="s">
        <v>1310</v>
      </c>
    </row>
    <row r="11" spans="1:2">
      <c r="A11">
        <v>9</v>
      </c>
      <c r="B11" t="s">
        <v>1311</v>
      </c>
    </row>
    <row r="12" spans="1:2">
      <c r="A12" t="s">
        <v>1312</v>
      </c>
      <c r="B12" t="s">
        <v>1313</v>
      </c>
    </row>
    <row r="13" spans="1:2">
      <c r="A13" t="s">
        <v>1314</v>
      </c>
      <c r="B13" t="s">
        <v>1315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84CC-ECED-43F3-A9DF-A87957537C60}">
  <dimension ref="A1:B9"/>
  <sheetViews>
    <sheetView workbookViewId="0">
      <selection activeCell="C22" sqref="C22"/>
    </sheetView>
  </sheetViews>
  <sheetFormatPr defaultRowHeight="14.45"/>
  <sheetData>
    <row r="1" spans="1:2">
      <c r="A1" t="s">
        <v>1272</v>
      </c>
      <c r="B1" t="s">
        <v>936</v>
      </c>
    </row>
    <row r="2" spans="1:2">
      <c r="A2">
        <v>1</v>
      </c>
      <c r="B2" t="s">
        <v>1273</v>
      </c>
    </row>
    <row r="3" spans="1:2">
      <c r="A3">
        <v>2</v>
      </c>
      <c r="B3" t="s">
        <v>1279</v>
      </c>
    </row>
    <row r="4" spans="1:2">
      <c r="A4">
        <v>3</v>
      </c>
      <c r="B4" t="s">
        <v>1285</v>
      </c>
    </row>
    <row r="5" spans="1:2">
      <c r="A5">
        <v>4</v>
      </c>
      <c r="B5" t="s">
        <v>1290</v>
      </c>
    </row>
    <row r="6" spans="1:2">
      <c r="A6">
        <v>5</v>
      </c>
      <c r="B6" t="s">
        <v>1295</v>
      </c>
    </row>
    <row r="7" spans="1:2">
      <c r="A7">
        <v>6</v>
      </c>
      <c r="B7" t="s">
        <v>1300</v>
      </c>
    </row>
    <row r="8" spans="1:2">
      <c r="A8">
        <v>7</v>
      </c>
      <c r="B8" t="s">
        <v>1305</v>
      </c>
    </row>
    <row r="9" spans="1:2">
      <c r="A9">
        <v>8</v>
      </c>
      <c r="B9" t="s">
        <v>1308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4ff537b-edc2-447c-9c91-333f5423e4b2">
      <Terms xmlns="http://schemas.microsoft.com/office/infopath/2007/PartnerControls"/>
    </lcf76f155ced4ddcb4097134ff3c332f>
    <TaxCatchAll xmlns="2f8b6139-4a68-4828-abd5-bc798652225a" xsi:nil="true"/>
    <Shortdescription xmlns="54ff537b-edc2-447c-9c91-333f5423e4b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214AD081D6B84F99EFB8EA11F7E58B" ma:contentTypeVersion="12" ma:contentTypeDescription="Create a new document." ma:contentTypeScope="" ma:versionID="e29fd9b198ad39224c449384a57ddd64">
  <xsd:schema xmlns:xsd="http://www.w3.org/2001/XMLSchema" xmlns:xs="http://www.w3.org/2001/XMLSchema" xmlns:p="http://schemas.microsoft.com/office/2006/metadata/properties" xmlns:ns2="54ff537b-edc2-447c-9c91-333f5423e4b2" xmlns:ns3="2f8b6139-4a68-4828-abd5-bc798652225a" targetNamespace="http://schemas.microsoft.com/office/2006/metadata/properties" ma:root="true" ma:fieldsID="8c9dca394b788be0bd6e944e20b164c8" ns2:_="" ns3:_="">
    <xsd:import namespace="54ff537b-edc2-447c-9c91-333f5423e4b2"/>
    <xsd:import namespace="2f8b6139-4a68-4828-abd5-bc798652225a"/>
    <xsd:element name="properties">
      <xsd:complexType>
        <xsd:sequence>
          <xsd:element name="documentManagement">
            <xsd:complexType>
              <xsd:all>
                <xsd:element ref="ns2:Shortdescription"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ff537b-edc2-447c-9c91-333f5423e4b2" elementFormDefault="qualified">
    <xsd:import namespace="http://schemas.microsoft.com/office/2006/documentManagement/types"/>
    <xsd:import namespace="http://schemas.microsoft.com/office/infopath/2007/PartnerControls"/>
    <xsd:element name="Shortdescription" ma:index="8" nillable="true" ma:displayName="Short description" ma:format="Dropdown" ma:internalName="Shortdescription">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a5e057b-9dc0-420d-9cdc-9e40336a749c"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8b6139-4a68-4828-abd5-bc798652225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a0b799c-3db3-449a-9369-4b864671c8c1}" ma:internalName="TaxCatchAll" ma:showField="CatchAllData" ma:web="2f8b6139-4a68-4828-abd5-bc79865222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2"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C7821E-9026-44C5-A98B-AEC3D9696973}"/>
</file>

<file path=customXml/itemProps2.xml><?xml version="1.0" encoding="utf-8"?>
<ds:datastoreItem xmlns:ds="http://schemas.openxmlformats.org/officeDocument/2006/customXml" ds:itemID="{2A0A2F79-075C-4174-AD0A-C56B82D698E6}"/>
</file>

<file path=customXml/itemProps3.xml><?xml version="1.0" encoding="utf-8"?>
<ds:datastoreItem xmlns:ds="http://schemas.openxmlformats.org/officeDocument/2006/customXml" ds:itemID="{FCD50CED-5302-41B9-8116-E7328A7BD566}"/>
</file>

<file path=docMetadata/LabelInfo.xml><?xml version="1.0" encoding="utf-8"?>
<clbl:labelList xmlns:clbl="http://schemas.microsoft.com/office/2020/mipLabelMetadata">
  <clbl:label id="{219619fd-75dc-48cb-820d-8f683a95dd8b}" enabled="1" method="Privileged" siteId="{05c95b33-90ca-49d5-b644-288b930b912b}" contentBits="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Heiss, Jessica</dc:creator>
  <cp:keywords/>
  <dc:description/>
  <cp:lastModifiedBy/>
  <cp:revision/>
  <dcterms:created xsi:type="dcterms:W3CDTF">2024-11-05T15:25:26Z</dcterms:created>
  <dcterms:modified xsi:type="dcterms:W3CDTF">2026-06-26T14:56:03Z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0x010100A5214AD081D6B84F99EFB8EA11F7E58B</vt:lpwstr>
  </property>
  <property fmtid="{D5CDD505-2E9C-101B-9397-08002B2CF9AE}" pid="3" name="MediaServiceImageTags">
    <vt:lpwstr/>
  </property>
</Properties>
</file>